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sheetId="1" r:id="rId5"/>
    <sheet state="visible" name="Achievements" sheetId="2" r:id="rId6"/>
    <sheet state="visible" name="Belt History" sheetId="3" r:id="rId7"/>
    <sheet state="visible" name="Events" sheetId="4" r:id="rId8"/>
    <sheet state="visible" name="Attendance" sheetId="5" r:id="rId9"/>
    <sheet state="visible" name="Payment_Tracker" sheetId="6" r:id="rId10"/>
    <sheet state="visible" name="Belt_Curriculum" sheetId="7" r:id="rId11"/>
    <sheet state="visible" name="Belt_Philosophy" sheetId="8" r:id="rId12"/>
    <sheet state="visible" name="Payments_Data" sheetId="9" r:id="rId13"/>
    <sheet state="visible" name="Login" sheetId="10" r:id="rId14"/>
    <sheet state="visible" name="Login_admin" sheetId="11" r:id="rId15"/>
  </sheets>
  <definedNames/>
  <calcPr/>
</workbook>
</file>

<file path=xl/sharedStrings.xml><?xml version="1.0" encoding="utf-8"?>
<sst xmlns="http://schemas.openxmlformats.org/spreadsheetml/2006/main" count="2760" uniqueCount="533">
  <si>
    <t>Student ID</t>
  </si>
  <si>
    <t>Khmer Name</t>
  </si>
  <si>
    <t>English Name</t>
  </si>
  <si>
    <t>Gender</t>
  </si>
  <si>
    <t>Current Belt</t>
  </si>
  <si>
    <t>Months at Current Belt</t>
  </si>
  <si>
    <t>Eligible for Test?</t>
  </si>
  <si>
    <t>DOB</t>
  </si>
  <si>
    <t>Email</t>
  </si>
  <si>
    <t>Phone</t>
  </si>
  <si>
    <t>Registration Date</t>
  </si>
  <si>
    <t>Scholarship</t>
  </si>
  <si>
    <t>Scholarship Type</t>
  </si>
  <si>
    <t>Profile Picture ID</t>
  </si>
  <si>
    <t>E-Sign ID</t>
  </si>
  <si>
    <t>Height</t>
  </si>
  <si>
    <t>Weight</t>
  </si>
  <si>
    <t>Yes</t>
  </si>
  <si>
    <t>Full</t>
  </si>
  <si>
    <t>1lBmAnT-53eMCmhIc0tjwv9Hb1V9gfvsG</t>
  </si>
  <si>
    <t>Athlete</t>
  </si>
  <si>
    <t>14T-8UcnZ4gca2TN_LD8KfNLrp5A8aoSB</t>
  </si>
  <si>
    <t>No</t>
  </si>
  <si>
    <t>13K01dr_3gn7GVXyA0RBF5dieavfPfvxw</t>
  </si>
  <si>
    <t>1xdzQPdHMhjodilRSOfZOVhAcnzs4e7CG</t>
  </si>
  <si>
    <t>1cDx6ImJ1Sjb8V4QSeTpWjilAA-3Jhudj</t>
  </si>
  <si>
    <t>Women in Sport</t>
  </si>
  <si>
    <t>1rTvNSRWn013sngIp3KfND0HU7ickAzIP</t>
  </si>
  <si>
    <t>14x7sj-_tMTcQJ6ciIDCBw_Orz48wpTCu</t>
  </si>
  <si>
    <t>1njLK28xhTtCF03sC1pF1fnrGndlKskUi</t>
  </si>
  <si>
    <t>1yC4QSq0xM6xMqq1SvJVv8lcKsXzlx37n</t>
  </si>
  <si>
    <t>1Lh_jIP7FgZmJXiJRmv3NSO-G4RhWQIzK</t>
  </si>
  <si>
    <t>1DOjd_1tOta-mJwKJQuhzt70rpYWEclP9</t>
  </si>
  <si>
    <t>1jyIG3mBkNSEm5GiU2ZznFX-yZBd2k8xm</t>
  </si>
  <si>
    <t>1U0oP0YyNrlccibP5z7YNvl9pJfwebY92</t>
  </si>
  <si>
    <t>1VXdQglqLcyFsRjcGiaT3s5295s20Fx3g</t>
  </si>
  <si>
    <t>Student Name</t>
  </si>
  <si>
    <t>Event Name</t>
  </si>
  <si>
    <t>Date</t>
  </si>
  <si>
    <t>Category</t>
  </si>
  <si>
    <t>Division</t>
  </si>
  <si>
    <t>Medal/Rank</t>
  </si>
  <si>
    <t>Notes</t>
  </si>
  <si>
    <t>Description</t>
  </si>
  <si>
    <t>Saopich Rithyna</t>
  </si>
  <si>
    <t>Korean Ambassador's Cup Taekwondo Competition 2025</t>
  </si>
  <si>
    <t>Demonstration</t>
  </si>
  <si>
    <t>Team</t>
  </si>
  <si>
    <t>Gold</t>
  </si>
  <si>
    <t>STU-M-002</t>
  </si>
  <si>
    <t>Hak Lymeng</t>
  </si>
  <si>
    <t>STU-F-003</t>
  </si>
  <si>
    <t>Oeng Chamroeunreasey</t>
  </si>
  <si>
    <t>STU-F-001</t>
  </si>
  <si>
    <t>Kampong Chhnang Provincial Taekwondo Championship 2025</t>
  </si>
  <si>
    <t>Recognized Poomsae</t>
  </si>
  <si>
    <t xml:space="preserve">Female Individual </t>
  </si>
  <si>
    <t>Silver</t>
  </si>
  <si>
    <t>STU-F-006</t>
  </si>
  <si>
    <t>Neou Thidapin</t>
  </si>
  <si>
    <t>Bronze</t>
  </si>
  <si>
    <t>STU-F-007</t>
  </si>
  <si>
    <t xml:space="preserve">Aboubakar  Rosnavattey </t>
  </si>
  <si>
    <t>Waein cup open championship 2025, Singapore</t>
  </si>
  <si>
    <t>Cambodia Taekwondo Hope Competition 2023</t>
  </si>
  <si>
    <t>Best of the Best 2023</t>
  </si>
  <si>
    <t>Cambodia Taekwondo Hope Competition 2024 - season 1</t>
  </si>
  <si>
    <t>Cambodia Taekwondo Hope Competition 2024 - season 2</t>
  </si>
  <si>
    <t>Cambodia Taekwondo National Championship 2024</t>
  </si>
  <si>
    <t>Cambodia Taekwondo Hope Competition 2025</t>
  </si>
  <si>
    <t>STU-F-012</t>
  </si>
  <si>
    <t>Ty Vorleak</t>
  </si>
  <si>
    <t>7th Heros International Taekwondo Cup 2025, Malaysia</t>
  </si>
  <si>
    <t>Pair</t>
  </si>
  <si>
    <t>STU-M-026</t>
  </si>
  <si>
    <t>Tith Bunnath</t>
  </si>
  <si>
    <t>National School Game (NSG) 2024, Singapore</t>
  </si>
  <si>
    <t>Male Individual</t>
  </si>
  <si>
    <t>Male Team</t>
  </si>
  <si>
    <t>NTU's Tournament of Champions (TOC), Singapore</t>
  </si>
  <si>
    <t>Participation</t>
  </si>
  <si>
    <t>National School Game (NSG) 2025, Singapore</t>
  </si>
  <si>
    <t>1st Hope International Taekwondo Open Championship 2026</t>
  </si>
  <si>
    <t>Speed Kicking</t>
  </si>
  <si>
    <t>OENG CHAMROEUNREASEY</t>
  </si>
  <si>
    <t>STU-F-004</t>
  </si>
  <si>
    <t>Sothea Mith</t>
  </si>
  <si>
    <t xml:space="preserve">ABOUBAKAR  ROSNAVATTEY </t>
  </si>
  <si>
    <t>STU-F-008</t>
  </si>
  <si>
    <t>Nuth Danita</t>
  </si>
  <si>
    <t>STU-F-015</t>
  </si>
  <si>
    <t>Vando Chenisa</t>
  </si>
  <si>
    <t>STU-F-016</t>
  </si>
  <si>
    <t>Vando Chenita</t>
  </si>
  <si>
    <t>STU-F-017</t>
  </si>
  <si>
    <t>Pen Sothea</t>
  </si>
  <si>
    <t/>
  </si>
  <si>
    <t>Belt</t>
  </si>
  <si>
    <t>Promotion Date</t>
  </si>
  <si>
    <t>Result</t>
  </si>
  <si>
    <t>Brown</t>
  </si>
  <si>
    <t>Red</t>
  </si>
  <si>
    <t>1st Poom/Dan</t>
  </si>
  <si>
    <t>Yellow</t>
  </si>
  <si>
    <t>Green</t>
  </si>
  <si>
    <t>Blue</t>
  </si>
  <si>
    <t>2nd Poom/Dan</t>
  </si>
  <si>
    <t>STU-M-022</t>
  </si>
  <si>
    <t xml:space="preserve">Chheang   HongHeng </t>
  </si>
  <si>
    <t>STU-F-019</t>
  </si>
  <si>
    <t xml:space="preserve">Chau Boreinna </t>
  </si>
  <si>
    <t>STU-M-020</t>
  </si>
  <si>
    <t>Sophea Ratanak</t>
  </si>
  <si>
    <t>STU-F-024</t>
  </si>
  <si>
    <t>Ly Sokvadhdika</t>
  </si>
  <si>
    <t>STU-F-013</t>
  </si>
  <si>
    <t>White</t>
  </si>
  <si>
    <t>Samneang Leongtin</t>
  </si>
  <si>
    <t>STU-F-014</t>
  </si>
  <si>
    <t xml:space="preserve">Thuok Sotheanin </t>
  </si>
  <si>
    <t>STU-F-018</t>
  </si>
  <si>
    <t>Nun Seyha</t>
  </si>
  <si>
    <t>STU-M-021</t>
  </si>
  <si>
    <t>Yem Sakphea</t>
  </si>
  <si>
    <t>STU-F-023</t>
  </si>
  <si>
    <t>Phan Aranya</t>
  </si>
  <si>
    <t>STU-F-025</t>
  </si>
  <si>
    <t>Hout Jinghouy</t>
  </si>
  <si>
    <t>STU-M-027</t>
  </si>
  <si>
    <t>Nafan Meak</t>
  </si>
  <si>
    <t>STU-F-028</t>
  </si>
  <si>
    <t xml:space="preserve">Moeun  Kanha </t>
  </si>
  <si>
    <t>STU-F-029</t>
  </si>
  <si>
    <t>Sreytroap Pheng</t>
  </si>
  <si>
    <t>STU-F-030</t>
  </si>
  <si>
    <t xml:space="preserve">Dareth  Kesorbophana </t>
  </si>
  <si>
    <t>STU-F-033</t>
  </si>
  <si>
    <t>Leng Soneyta</t>
  </si>
  <si>
    <t>STU-M-031</t>
  </si>
  <si>
    <t>Sous Soknorak</t>
  </si>
  <si>
    <t>STU-M-032</t>
  </si>
  <si>
    <t xml:space="preserve">Sous Sokrattanak </t>
  </si>
  <si>
    <t>STU-M-035</t>
  </si>
  <si>
    <t>Ly Bunsak</t>
  </si>
  <si>
    <t>STU-M-036</t>
  </si>
  <si>
    <t xml:space="preserve">Pen Panha Sovan </t>
  </si>
  <si>
    <t>STU-M-039</t>
  </si>
  <si>
    <t>Khunmeng Chhay</t>
  </si>
  <si>
    <t>STU-F-034</t>
  </si>
  <si>
    <t>Dane Meas</t>
  </si>
  <si>
    <t>STU-F-037</t>
  </si>
  <si>
    <t>Than Kimlang</t>
  </si>
  <si>
    <t>STU-F-038</t>
  </si>
  <si>
    <t>San Vannary</t>
  </si>
  <si>
    <t>STU-M-040</t>
  </si>
  <si>
    <t xml:space="preserve">Daleap Phalla </t>
  </si>
  <si>
    <t>Name</t>
  </si>
  <si>
    <t>Type</t>
  </si>
  <si>
    <t>Reg Start</t>
  </si>
  <si>
    <t>Reg Close</t>
  </si>
  <si>
    <t>Event Start</t>
  </si>
  <si>
    <t>Event Close</t>
  </si>
  <si>
    <t>Location</t>
  </si>
  <si>
    <t>Status</t>
  </si>
  <si>
    <t>Competition</t>
  </si>
  <si>
    <t>10-Dec-2023</t>
  </si>
  <si>
    <t>Phnom Penh, Cambodia</t>
  </si>
  <si>
    <t>Closed</t>
  </si>
  <si>
    <t>4-May-2024</t>
  </si>
  <si>
    <t>24-Aug-2024</t>
  </si>
  <si>
    <t>15-Mar-2025</t>
  </si>
  <si>
    <t>30-Dec-2023</t>
  </si>
  <si>
    <t>30-Dec-2024</t>
  </si>
  <si>
    <t>17-Dec-2025</t>
  </si>
  <si>
    <t>Singapore</t>
  </si>
  <si>
    <t>9-Aug-2025</t>
  </si>
  <si>
    <t>Negeri Smbilan, Malaysia</t>
  </si>
  <si>
    <t>20-Dec-2024</t>
  </si>
  <si>
    <t>20-Dec-2025</t>
  </si>
  <si>
    <t>13-May-2024</t>
  </si>
  <si>
    <t>8-Mar-2025</t>
  </si>
  <si>
    <t>13-May-2025</t>
  </si>
  <si>
    <t>1-Aug-2025</t>
  </si>
  <si>
    <t>20-Aug-2025</t>
  </si>
  <si>
    <t>12-Sep-2025</t>
  </si>
  <si>
    <t>12-Sep-2026</t>
  </si>
  <si>
    <t>1-Nov-2025</t>
  </si>
  <si>
    <t>20-Nov-2025</t>
  </si>
  <si>
    <t>28-Nov-2025</t>
  </si>
  <si>
    <t>29-Nov-2025</t>
  </si>
  <si>
    <t>Kampong Chhnang, Cambodia</t>
  </si>
  <si>
    <t>1-Oct-2025</t>
  </si>
  <si>
    <t>9-Dec-2025</t>
  </si>
  <si>
    <t>8-Jan-2026</t>
  </si>
  <si>
    <t>11-Jan-2026</t>
  </si>
  <si>
    <t>Cambodia Taekwondo National Championship 2025</t>
  </si>
  <si>
    <t>For Black Belt only</t>
  </si>
  <si>
    <t>Open</t>
  </si>
  <si>
    <t>Absent</t>
  </si>
  <si>
    <t>Present</t>
  </si>
  <si>
    <t>Late</t>
  </si>
  <si>
    <t>STU-F-005</t>
  </si>
  <si>
    <t>Hem Keotetsobonneary</t>
  </si>
  <si>
    <t>Year</t>
  </si>
  <si>
    <t>Khmer Full Name</t>
  </si>
  <si>
    <t>English Full Name</t>
  </si>
  <si>
    <t>Jan</t>
  </si>
  <si>
    <t>Feb</t>
  </si>
  <si>
    <t>Mar</t>
  </si>
  <si>
    <t>Apr</t>
  </si>
  <si>
    <t>May</t>
  </si>
  <si>
    <t>Jun</t>
  </si>
  <si>
    <t>Jul</t>
  </si>
  <si>
    <t>Aug</t>
  </si>
  <si>
    <t>Sep</t>
  </si>
  <si>
    <t>Oct</t>
  </si>
  <si>
    <t>Nov</t>
  </si>
  <si>
    <t>Dec</t>
  </si>
  <si>
    <t>សៅពេជ្រ  រិទ្ធីណា</t>
  </si>
  <si>
    <t>ហាក់ លីម៉េង</t>
  </si>
  <si>
    <t>អុឹង ចំរើនរាសី</t>
  </si>
  <si>
    <t>Paid</t>
  </si>
  <si>
    <t>មិត សុធា</t>
  </si>
  <si>
    <t>ហែម កែវទិត្យសុបុណ្យនារី</t>
  </si>
  <si>
    <t>នៅ ធីតាពីន</t>
  </si>
  <si>
    <t xml:space="preserve">អាពូបាកា រ៉ូសនាវ៉ាត្តី </t>
  </si>
  <si>
    <t>នុត ដានីតា</t>
  </si>
  <si>
    <t>STU-M-009</t>
  </si>
  <si>
    <t>ភេន ឌីណា</t>
  </si>
  <si>
    <t xml:space="preserve">Dina Pan </t>
  </si>
  <si>
    <t>STU-M-010</t>
  </si>
  <si>
    <t>សោម សុវិន</t>
  </si>
  <si>
    <t>Soam Sovin</t>
  </si>
  <si>
    <t>STU-F-011</t>
  </si>
  <si>
    <t>ឃានកែវ បាបឺរ៉ា</t>
  </si>
  <si>
    <t>Kheankeo Babera</t>
  </si>
  <si>
    <t>ទី វរលក្ខណ៍</t>
  </si>
  <si>
    <t>សំនៀង ឡេអុងទីន</t>
  </si>
  <si>
    <t>ធួក សុធានីន</t>
  </si>
  <si>
    <t>វ៉ាន់ដូរ ជេនិសា</t>
  </si>
  <si>
    <t>វ៉ាន់ដូរ ជេនិតា</t>
  </si>
  <si>
    <t>ប៉ែន សុធា</t>
  </si>
  <si>
    <t>នន់ សីហា</t>
  </si>
  <si>
    <t>ចៅ បូរ៉ែនណា</t>
  </si>
  <si>
    <t>សុភា រតនៈ</t>
  </si>
  <si>
    <t>យ៉ែម សភា</t>
  </si>
  <si>
    <t>ឈៀង ហុងហេង</t>
  </si>
  <si>
    <t xml:space="preserve">Chheang   Hongheng </t>
  </si>
  <si>
    <t>ផាន់ អារ៉ាន់យ៉ា</t>
  </si>
  <si>
    <t>លី សុខវឌ្ឍិកា</t>
  </si>
  <si>
    <t>ហួត  ជីងហួយ</t>
  </si>
  <si>
    <t>ទិត ប៊ុនណាត</t>
  </si>
  <si>
    <t xml:space="preserve">មាឃ ណាហ្វេន </t>
  </si>
  <si>
    <t>មុឺន កញ្ញា</t>
  </si>
  <si>
    <t>ផេង ស្រីទ្រព្យ</t>
  </si>
  <si>
    <t>ដារ៉េត កេសរបុប្ផាណា</t>
  </si>
  <si>
    <t>សួស សុខនរៈ</t>
  </si>
  <si>
    <t>សួស សុខរតនៈ</t>
  </si>
  <si>
    <t>ឡេង សុណីតា</t>
  </si>
  <si>
    <t>មាស ដា ណេ</t>
  </si>
  <si>
    <t>លី ប៊ុនស័ក្ក</t>
  </si>
  <si>
    <t>ប៉ែន បញ្ញាសុវណ្ណ</t>
  </si>
  <si>
    <t>ថាន គីមឡាង</t>
  </si>
  <si>
    <t>សាន វ៉ាន់ណារី</t>
  </si>
  <si>
    <t>ឆាយ  ឃុនម៉េង</t>
  </si>
  <si>
    <t>ផល្លា ផល្លា ដាលាភ</t>
  </si>
  <si>
    <t>Belt_Level</t>
  </si>
  <si>
    <t>Title</t>
  </si>
  <si>
    <t>Sub_Title</t>
  </si>
  <si>
    <t>Focus</t>
  </si>
  <si>
    <t>Video_URL</t>
  </si>
  <si>
    <t>Tag</t>
  </si>
  <si>
    <t>Level</t>
  </si>
  <si>
    <t>Prerequisite</t>
  </si>
  <si>
    <t>Poomsae</t>
  </si>
  <si>
    <t>Poomsae 1</t>
  </si>
  <si>
    <t>Taeguek II Jang</t>
  </si>
  <si>
    <t>This poomsae symbolizes the Heaven and the Light. It focuses on the basic moves for beginners, helping students to understand how to control their stances, strikes, and blocks.</t>
  </si>
  <si>
    <t>Beginnings of balance, fundamental stances, and basic hand and foot techniques.</t>
  </si>
  <si>
    <t>https://www.youtube.com/watch?v=WhkjRruCBTo</t>
  </si>
  <si>
    <t>Fundamental</t>
  </si>
  <si>
    <t>Front Kick</t>
  </si>
  <si>
    <t>Poomsae 2</t>
  </si>
  <si>
    <t>Taeguek Ee Jang</t>
  </si>
  <si>
    <t>This poomsae represents Joy and the Thunder. It teaches students to refine their footwork and adds more complexity to their movements. The patterns emphasize turning and the use of blocks and strikes with precision.</t>
  </si>
  <si>
    <t>Developing further control over stances and basic techniques.</t>
  </si>
  <si>
    <t>https://www.youtube.com/watch?v=tGlrUplKHh8</t>
  </si>
  <si>
    <t>Poomsae 3</t>
  </si>
  <si>
    <t>Taeguek Sam Jang</t>
  </si>
  <si>
    <t>Symbolizes Fire and the Sun, representing energy and power. The movements become more complex, with an emphasis on proper breathing and rhythm.</t>
  </si>
  <si>
    <t>Stronger focus on control, balance, and synchronization between hand and foot techniques.</t>
  </si>
  <si>
    <t>https://www.youtube.com/watch?v=ksSqKt0UkWo</t>
  </si>
  <si>
    <t>Poomsae 4</t>
  </si>
  <si>
    <t>Taeguek Sa Jang</t>
  </si>
  <si>
    <t>This poomsae represents Thunder and the Earth, with an emphasis on solid, powerful movements. Techniques include high blocks and low stances, which challenge students to maintain strength in their forms.</t>
  </si>
  <si>
    <t>Strengthening of the stances, with more focus on speed and accuracy.</t>
  </si>
  <si>
    <t>https://www.youtube.com/watch?v=Lt917gacJho</t>
  </si>
  <si>
    <t>Intermediate</t>
  </si>
  <si>
    <t>Poomsae 3, Side Kick</t>
  </si>
  <si>
    <t>Poomsae 5</t>
  </si>
  <si>
    <t>Taeguek O Jang</t>
  </si>
  <si>
    <t>Symbolizing Wind and the Mountain, this form introduces more dynamic movement and speed, including techniques that require quicker reactions.</t>
  </si>
  <si>
    <t>Coordination between blocking and striking, while maintaining balanced and powerful stances.</t>
  </si>
  <si>
    <t>https://www.youtube.com/watch?v=VdqNEAHWCBM</t>
  </si>
  <si>
    <t>Poomsae 4, Side Kick</t>
  </si>
  <si>
    <t>Poomsae 6</t>
  </si>
  <si>
    <t>Taeguek Yuk Jang</t>
  </si>
  <si>
    <t>Representing Water and the Lake, this form emphasizes how to move with grace and agility, with techniques requiring fluid transitions between blocks and strikes.</t>
  </si>
  <si>
    <t>Fluid transitions between stances and a focus on speed and precision.</t>
  </si>
  <si>
    <t>https://www.youtube.com/watch?v=jcBwWo4wN7c</t>
  </si>
  <si>
    <t>Poomsae 5, Roundhouse Kick, Front Kick</t>
  </si>
  <si>
    <t>Poomsae 7</t>
  </si>
  <si>
    <t>Taeguek Chil Jang</t>
  </si>
  <si>
    <t>Symbolizing Heaven and the Earth, this poomsae builds on the previous forms and emphasizes solid, strong movements with the introduction of more advanced techniques.</t>
  </si>
  <si>
    <t>Power and confidence in performing the forms.</t>
  </si>
  <si>
    <t>https://www.youtube.com/watch?v=6FUM1p6qqhQ</t>
  </si>
  <si>
    <t>Advanced</t>
  </si>
  <si>
    <t>Poomsae 6, Front Kick</t>
  </si>
  <si>
    <t>Poomsae 8</t>
  </si>
  <si>
    <t>Taeguek Pal Jang</t>
  </si>
  <si>
    <t>Representing Infinity and Completion, this poomsae ties all previous forms together. It requires the practitioner to demonstrate mastery over stances, footwork, and technique, showcasing balance and power.</t>
  </si>
  <si>
    <t>The pinnacle of the Taegeuk series, requiring strength, control, and fluidity.</t>
  </si>
  <si>
    <t>https://www.youtube.com/watch?v=Gr_Je2ZkgkI</t>
  </si>
  <si>
    <t>Koryo</t>
  </si>
  <si>
    <t>고려</t>
  </si>
  <si>
    <t>Koryo symbolizes the wisdom and virtue of a scholar. This form combines precise, quick movements with powerful blocks and strikes. It challenges students to demonstrate their ability to control their body and use focus and energy efficiently in each movement.</t>
  </si>
  <si>
    <t>Combination of speed, power, and control.</t>
  </si>
  <si>
    <t>https://www.youtube.com/watch?v=mGa60JDtWmg</t>
  </si>
  <si>
    <t>Poomsae 8, Jumping Front Kick</t>
  </si>
  <si>
    <t>Keumgang</t>
  </si>
  <si>
    <t>금강</t>
  </si>
  <si>
    <t>Named after the Keumgang Mountain in Korea, which symbolizes hardness and strength. This poomsae focuses on creating powerful, direct movements and balancing speed with control. There is a focus on the integrity of each stance and movement.</t>
  </si>
  <si>
    <t>Precision, balance, and creating power in each strike.</t>
  </si>
  <si>
    <t>https://www.youtube.com/watch?v=CRGVSOmaQaY</t>
  </si>
  <si>
    <t>Senior</t>
  </si>
  <si>
    <t>Taebaek</t>
  </si>
  <si>
    <t>태백</t>
  </si>
  <si>
    <t>Taebaek refers to the legendary Taebaek Mountain in Korea. It represents the starting point of everything, symbolizing a new beginning. This form includes a series of advancing and retreating moves, requiring fluid transitions between blocks, strikes, and stances. Precision is key.</t>
  </si>
  <si>
    <t>The power and grace of movement, with an emphasis on circular motion and technique.</t>
  </si>
  <si>
    <t>https://www.youtube.com/watch?v=Q4dYdFRbE4U</t>
  </si>
  <si>
    <t>Black 1 Poom/Dan</t>
  </si>
  <si>
    <t>Pyongwon</t>
  </si>
  <si>
    <t>평원</t>
  </si>
  <si>
    <t>Pyongwon symbolizes the wide and vast land. It includes expansive techniques and movements, requiring more agility and speed. The form uses a range of stances, and students need to maintain balance, breath control, and power throughout.</t>
  </si>
  <si>
    <t>Concentration, speed, and agility, with more complex patterns.</t>
  </si>
  <si>
    <t>https://www.youtube.com/watch?v=RB-7mBtvtZw</t>
  </si>
  <si>
    <t>Sipjin</t>
  </si>
  <si>
    <t>십진</t>
  </si>
  <si>
    <t>This form represents long-lasting wisdom, symbolizing the calm but powerful nature of a mountain. Sipjin focuses on intricate footwork and hand movements. It requires a high level of discipline and control.</t>
  </si>
  <si>
    <t>Precision in technique and fluidity in movement.</t>
  </si>
  <si>
    <t>https://www.youtube.com/watch?v=hOZB0IESJ38</t>
  </si>
  <si>
    <t>Jitae</t>
  </si>
  <si>
    <t>지태</t>
  </si>
  <si>
    <t>Jitae represents the earth and its core. This form requires fluid, circular movements and focuses on balanced stances and blocks. It is more spiritual in nature, as it asks the practitioner to align their mind, body, and spirit.</t>
  </si>
  <si>
    <t>The integration of technique and spirituality.</t>
  </si>
  <si>
    <t>https://www.youtube.com/watch?v=nur2WsN7dQw</t>
  </si>
  <si>
    <t>Himchari</t>
  </si>
  <si>
    <t>힘차리</t>
  </si>
  <si>
    <t>Himchari is an advanced poomsae that emphasizes strength and stability. The name "Himchari" translates roughly to "powerful" or "to strike strongly," reflecting the emphasis on delivering controlled, powerful movements with intention.</t>
  </si>
  <si>
    <t>Emphasizes powerful strikes, stability, and energy control in each movement.</t>
  </si>
  <si>
    <t>https://www.youtube.com/watch?v=FcCts3yYaW8</t>
  </si>
  <si>
    <t>New Poomsae</t>
  </si>
  <si>
    <t>Elite</t>
  </si>
  <si>
    <t>Black 2 Poom/Dan</t>
  </si>
  <si>
    <t>Yamang</t>
  </si>
  <si>
    <t>야망</t>
  </si>
  <si>
    <t>Yamang is designed to help students refine their control over both their physical movements and mental focus. The term "Yamang" translates to "ambition" or "aspiration," encouraging practitioners to embody perseverance and strength in their training.</t>
  </si>
  <si>
    <t>Teaches control, precision, and the mental strength of perseverance and ambition.</t>
  </si>
  <si>
    <t>https://www.youtube.com/watch?v=lFG994zIt0Q</t>
  </si>
  <si>
    <t>Saebyeol</t>
  </si>
  <si>
    <t>새별</t>
  </si>
  <si>
    <t>"Saebyeol" translates to "new star" or "rising star," symbolizing a new beginning or fresh growth. This poomsae is often taught as a way to symbolize personal evolution and awakening.</t>
  </si>
  <si>
    <t>Focuses on fluid transitions, flexibility, and energy timing, symbolizing personal growth.</t>
  </si>
  <si>
    <t>https://www.youtube.com/watch?v=uNF9KFiOlnE</t>
  </si>
  <si>
    <t>Nareusya</t>
  </si>
  <si>
    <t>나르세요</t>
  </si>
  <si>
    <t>The name "Nareusya" translates to "downward" or "falling." This poomsae emphasizes downward strikes and controlling downward motion, often symbolizing humility, grounding, and the ability to control one's own strength.</t>
  </si>
  <si>
    <t>Strengthens downward techniques and stances, promoting grounding and control.</t>
  </si>
  <si>
    <t>https://www.youtube.com/watch?v=mglxY9DK8Gs</t>
  </si>
  <si>
    <t>Bigak</t>
  </si>
  <si>
    <t>비각</t>
  </si>
  <si>
    <t>"Bigak" is typically associated with strategic awareness and angles of attack. The name can be interpreted as "mystic angle" or "unseen attack," symbolizing the importance of being unpredictable and calculated in one’s movements.</t>
  </si>
  <si>
    <t>Focuses on strategic angles, speed, and defensive reflexes in combat.</t>
  </si>
  <si>
    <t>https://www.youtube.com/watch?v=s0GSoI8UM4U</t>
  </si>
  <si>
    <t>Kick</t>
  </si>
  <si>
    <t>Ap Chagi</t>
  </si>
  <si>
    <t>The front kick is a straightforward and powerful strike, typically aimed at an opponent’s midsection or head. It is executed by lifting the knee, extending the foot forward, and striking with the ball of the foot. The kick should be quick and precise, using the hip for added power.</t>
  </si>
  <si>
    <t>Speed, precision, and control using the ball of the foot.</t>
  </si>
  <si>
    <t>Normal Kick</t>
  </si>
  <si>
    <t>Axe Kick</t>
  </si>
  <si>
    <t>Naeryo Chagi</t>
  </si>
  <si>
    <t>The axe kick is performed by raising the leg straight up, then bringing it down sharply in a downward motion, like an axe chopping wood. It is delivered with the heel, and the downward trajectory makes it useful for striking an opponent's head or shoulders.</t>
  </si>
  <si>
    <t>Height and downward impact, striking with the heel.</t>
  </si>
  <si>
    <t>Roundhouse Kick</t>
  </si>
  <si>
    <t>Dollyo Chagi</t>
  </si>
  <si>
    <t>A roundhouse kick involves pivoting on the supporting foot while bringing the kicking leg in a circular motion to strike the target with the instep or shin. It can be aimed at various heights, from the midsection to the head. The roundhouse kick is one of the most versatile kicks.</t>
  </si>
  <si>
    <t>Power and rotation, striking with the instep or shin.</t>
  </si>
  <si>
    <t>Crescent Kick</t>
  </si>
  <si>
    <t>Bandal Chagi</t>
  </si>
  <si>
    <t>The crescent kick is an arc-shaped kick that starts low and swings upward in a semicircular motion, striking with the inside or outside of the foot. It’s executed by raising the leg to the side and sweeping it in a crescent motion.</t>
  </si>
  <si>
    <t>Fluid arc motion, striking with the inside or outside of the foot.</t>
  </si>
  <si>
    <t>Push Kick</t>
  </si>
  <si>
    <t>Meereo Chagi</t>
  </si>
  <si>
    <t>The push kick is delivered by thrusting the ball of the foot directly at the opponent, usually targeting their chest or abdomen. The kick is quick and explosive, intended more to push the opponent away than to cause significant damage.</t>
  </si>
  <si>
    <t>Distance control, using the ball of the foot to push away.</t>
  </si>
  <si>
    <t>Jumping Front Kick</t>
  </si>
  <si>
    <t>Ttwieo Ap Chagi</t>
  </si>
  <si>
    <t>The jumping front kick is performed by lifting the knee, jumping upward, and extending the kicking leg forward while airborne. The kick strikes with the ball of the foot and emphasizes timing, balance, and explosive power.</t>
  </si>
  <si>
    <t>Timing and elevation, adding power with height.</t>
  </si>
  <si>
    <t>Special Kick</t>
  </si>
  <si>
    <t>Jumping Round Kick</t>
  </si>
  <si>
    <t>Ttwieo Dollyo Chagi</t>
  </si>
  <si>
    <t>This kick combines a jump with a roundhouse motion, striking the target while airborne using the instep. The hips rotate mid-air to generate power and reach higher targets.</t>
  </si>
  <si>
    <t>Airborne rotation and precision while kicking.</t>
  </si>
  <si>
    <t>360 Round Kick</t>
  </si>
  <si>
    <t>Tornado Kick</t>
  </si>
  <si>
    <t>A spinning kick where the practitioner turns the body a full 360 degrees before executing a roundhouse kick. It combines rotational momentum, balance, and precise timing to deliver a powerful and dynamic strike.</t>
  </si>
  <si>
    <t>Full spin and precision, focusing on balance and control.</t>
  </si>
  <si>
    <t>Hook Kick</t>
  </si>
  <si>
    <t>Huryeo Chagi</t>
  </si>
  <si>
    <t>The hook kick is similar to the roundhouse kick, but with a more circular, hooking motion. The kick is delivered with the heel and is aimed at the opponent’s head, neck, or ribs. The foot follows a path like a hook, coming around the target from behind.</t>
  </si>
  <si>
    <t>Speed, flexibility, and retraction</t>
  </si>
  <si>
    <t>Downward Kick</t>
  </si>
  <si>
    <t>The downward kick is similar to the axe kick but more focused on a sharp downward angle. The kick is executed by raising the leg high and then driving it down onto the target, typically using the heel.</t>
  </si>
  <si>
    <t>Precision and downward force, targeting low points.</t>
  </si>
  <si>
    <t>Side Kick</t>
  </si>
  <si>
    <t>Yop Chagi</t>
  </si>
  <si>
    <t>The side kick is executed by rotating the body sideways and extending the leg in a straight line, striking with the heel or edge of the foot. The kick can be delivered with power, as it utilizes the strong muscles of the hip and thigh.</t>
  </si>
  <si>
    <t>Lateral power, driving through the heel with balance.</t>
  </si>
  <si>
    <t>https://www.youtube.com/watch?v=yZa58trsVac</t>
  </si>
  <si>
    <t>Spin Hook</t>
  </si>
  <si>
    <t>Dwi Huryeo Chagi</t>
  </si>
  <si>
    <t>The spinning hook kick involves turning the body fully, extending the leg, and hooking it across the target with the heel. The spin builds momentum, allowing for a powerful and unexpected attack.</t>
  </si>
  <si>
    <t>Speed, surprise, and fluid motion while spinning.</t>
  </si>
  <si>
    <t>Back Kick</t>
  </si>
  <si>
    <t>Dwi Chagi</t>
  </si>
  <si>
    <t>The back kick is performed by rotating the body 180 degrees, and then thrusting the foot directly backward toward the opponent. It is usually aimed at the opponent’s midsection or head, striking with the heel.</t>
  </si>
  <si>
    <t>Power and surprise, striking with the heel behind.</t>
  </si>
  <si>
    <t>Push Kick, Side Kick, Roundhouse Kick</t>
  </si>
  <si>
    <t>Twist Kick</t>
  </si>
  <si>
    <t>Bit Chagi</t>
  </si>
  <si>
    <t>The twist kick is a variation of the roundhouse kick, with a twist of the hip added to generate more power and an unexpected angle. It is delivered with the heel, often targeting the head or neck.</t>
  </si>
  <si>
    <t>Angle and precision, twisting the body for effective strikes.</t>
  </si>
  <si>
    <t>Jumping Side Kick</t>
  </si>
  <si>
    <t>Ttwieo Yop Chagi</t>
  </si>
  <si>
    <t>The jumping side kick is executed by lifting the knee, jumping, and extending the leg sideways to strike with the heel. It is a powerful linear kick that uses body alignment and hip drive.</t>
  </si>
  <si>
    <t>Timing, elevation, and power while airborne.</t>
  </si>
  <si>
    <t>Skip Hook</t>
  </si>
  <si>
    <t>Hook Kick, Spin Hook</t>
  </si>
  <si>
    <t>Swing Hook</t>
  </si>
  <si>
    <t>Jumping Spin Hook</t>
  </si>
  <si>
    <t>Ttwieo Huryeo Chagi</t>
  </si>
  <si>
    <t>This kick is performed by jumping and extending the leg outward before hooking it back toward the target, striking with the heel. It requires good flexibility, balance, and timing.</t>
  </si>
  <si>
    <t>Explosive spin with hook for high-impact strikes.</t>
  </si>
  <si>
    <t>Auto-bahn kick</t>
  </si>
  <si>
    <t>Narabang Kick</t>
  </si>
  <si>
    <t>540 Round Kick</t>
  </si>
  <si>
    <t>540 Hook Kick</t>
  </si>
  <si>
    <t>Auto-bahn kick, Swing Hook</t>
  </si>
  <si>
    <t>720 Round Kick</t>
  </si>
  <si>
    <t>540 Hook Kick, 360 Round Kick</t>
  </si>
  <si>
    <t>Acrobatic</t>
  </si>
  <si>
    <t>Forward Roll</t>
  </si>
  <si>
    <t>Backward Roll</t>
  </si>
  <si>
    <t>Handstand (Wall)</t>
  </si>
  <si>
    <t>Dive Roll</t>
  </si>
  <si>
    <t>Cartwheel (Standard)</t>
  </si>
  <si>
    <t xml:space="preserve">Bridge </t>
  </si>
  <si>
    <t>Head Stand</t>
  </si>
  <si>
    <t>One-hand Cartwheel</t>
  </si>
  <si>
    <t>Round Off</t>
  </si>
  <si>
    <t>Kikc Up</t>
  </si>
  <si>
    <t>Aerial</t>
  </si>
  <si>
    <t>Front Handspring</t>
  </si>
  <si>
    <t>Back Handspring</t>
  </si>
  <si>
    <t>Front Tuck</t>
  </si>
  <si>
    <t>A forward rotating flip performed without hand assistance. The technique involves a powerful forward and upward jump, followed by pulling the knees into a tight tuck position to generate quick rotation before extending the body for a stable two-foot landing. Requires significant explosive power and air control.</t>
  </si>
  <si>
    <t>Back Tuck</t>
  </si>
  <si>
    <t>A backward rotating flip performed without hand assistance (also known as a back somersault). The key is an explosive upward jump, snapping the head back, and tucking the knees sharply to the chest to initiate fast rotation, aiming for a quick landing on both feet. Requires strong core control, confidence, and vertical leap ability.</t>
  </si>
  <si>
    <t>Side Flip</t>
  </si>
  <si>
    <t>A rotational acrobatic move performed sideways without the use of hands. The practitioner generates rotational momentum from a cartwheel or round-off setup, focusing on keeping the body streamlined and horizontal in the air before landing on both feet. This is an advanced drill emphasizing mid-air body awareness and lateral power.</t>
  </si>
  <si>
    <t>X-out</t>
  </si>
  <si>
    <t>An advanced acrobatic kick or flip variation (often a back tuck or side flip) where the legs are spread wide into an 'X' shape in the air before being brought back together for the landing. This skill demonstrates an extremely high level of control, flexibility, and air awareness, often used for stylistic emphasis in demonstrations.</t>
  </si>
  <si>
    <t>Meaning</t>
  </si>
  <si>
    <t>Motivation_Quote</t>
  </si>
  <si>
    <t>Spirit_Focus</t>
  </si>
  <si>
    <t>Signifies innocence, as that of the beginning student who has no previous knowledge of Taekwondo.</t>
  </si>
  <si>
    <t>"Every expert was once a beginner."</t>
  </si>
  <si>
    <t>Eagerness: Listening with an open mind and heart.</t>
  </si>
  <si>
    <t>Signifies the Earth, from which a plant sprouts and takes root as the Taekwondo foundation is being laid.</t>
  </si>
  <si>
    <t>"The journey of a thousand miles begins with a single step."</t>
  </si>
  <si>
    <t>Respect: Bowing to instructors and seniors.</t>
  </si>
  <si>
    <t>Signifies the Plant's growth as the Taekwondo skills begin to develop.</t>
  </si>
  <si>
    <t>"Success is the sum of small efforts, repeated day in and day out."</t>
  </si>
  <si>
    <t>Perseverance: Never giving up on learning difficult techniques.</t>
  </si>
  <si>
    <t>Signifies the Heaven/Sky, towards which the plant matures into a towering tree.</t>
  </si>
  <si>
    <t>"Aim for the sky, if you miss you land among the stars."</t>
  </si>
  <si>
    <t>Self-Control: Managing your power and emotions.</t>
  </si>
  <si>
    <t>Signifies the grounding of one's skills, where techniques become solid and roots run deep.</t>
  </si>
  <si>
    <t>"Discipline is the bridge between goals and accomplishment."</t>
  </si>
  <si>
    <t>Focus: Eliminating distractions to achieve a singular goal.</t>
  </si>
  <si>
    <t>Signifies Danger, cautioning the student to exercise control and warning the opponent to stay away.</t>
  </si>
  <si>
    <t>"Knowing others is intelligence; knowing yourself is true wisdom."</t>
  </si>
  <si>
    <t>Integrity: Being honest with yourself about your effort and ability.</t>
  </si>
  <si>
    <t>Opposite of White, signifying maturity and proficiency in Taekwondo. It indicates imperviousness to darkness and fear.</t>
  </si>
  <si>
    <t>"A Black Belt is a White Belt who never gave up."</t>
  </si>
  <si>
    <t>Indomitable Spirit: Showing courage when facing fears and failure.</t>
  </si>
  <si>
    <t>Signifies a deeper understanding, realizing that the Black Belt is not the end, but the beginning of true mastery.</t>
  </si>
  <si>
    <t>"To teach is to learn twice."</t>
  </si>
  <si>
    <t>Leadership: Setting a positive example for all lower ranks to follow.</t>
  </si>
  <si>
    <t>Black 3 Poom/Dan</t>
  </si>
  <si>
    <t>Represents the refinement of technique and character, moving towards the "Art" rather than just the "Sport".</t>
  </si>
  <si>
    <t>"Excellence is not an act, but a habit."</t>
  </si>
  <si>
    <t>Humility: Understanding that no matter how good you are, there is always more to learn.</t>
  </si>
  <si>
    <t>For Month</t>
  </si>
  <si>
    <t>Payment Date</t>
  </si>
  <si>
    <t>Amount</t>
  </si>
  <si>
    <t>Pass</t>
  </si>
  <si>
    <t>username</t>
  </si>
  <si>
    <t>password_hash</t>
  </si>
  <si>
    <t>display_name</t>
  </si>
  <si>
    <t>role</t>
  </si>
  <si>
    <t>avatar_url</t>
  </si>
  <si>
    <t>keo_moni</t>
  </si>
  <si>
    <t>Keo Moni</t>
  </si>
  <si>
    <t>Admin</t>
  </si>
  <si>
    <t>chon_sovan</t>
  </si>
  <si>
    <t>infinity_tkd_2026</t>
  </si>
  <si>
    <t>Chon Sovan</t>
  </si>
  <si>
    <t>Coach</t>
  </si>
  <si>
    <t>saopich_rithyna</t>
  </si>
  <si>
    <t>nuth_danita</t>
  </si>
  <si>
    <t>Assistant Coach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</si>
</sst>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d/yyyy h:mm:ss"/>
  </numFmts>
  <fonts count="8">
    <font>
      <sz val="10.0"/>
      <color rgb="FF000000"/>
      <name val="Arial"/>
      <scheme val="minor"/>
    </font>
    <font>
      <color theme="1"/>
      <name val="Arial"/>
      <scheme val="minor"/>
    </font>
    <font>
      <color rgb="FF434343"/>
      <name val="Roboto"/>
    </font>
    <font>
      <sz val="11.0"/>
      <color rgb="FF38761D"/>
      <name val="Arial"/>
    </font>
    <font>
      <b/>
      <sz val="15.0"/>
      <color theme="1"/>
      <name val="Arial"/>
    </font>
    <font>
      <color theme="1"/>
      <name val="Arial"/>
    </font>
    <font>
      <color theme="1"/>
      <name val="Roboto"/>
    </font>
    <font>
      <u/>
      <color rgb="FF0000FF"/>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0">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1" fillId="2" fontId="2" numFmtId="164" xfId="0" applyAlignment="1" applyBorder="1" applyFill="1" applyFont="1" applyNumberFormat="1">
      <alignment horizontal="right" shrinkToFit="0" vertical="center" wrapText="0"/>
    </xf>
    <xf borderId="2" fillId="3" fontId="2" numFmtId="164" xfId="0" applyAlignment="1" applyBorder="1" applyFill="1" applyFont="1" applyNumberFormat="1">
      <alignment horizontal="right" shrinkToFit="0" vertical="center" wrapText="0"/>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vertical="center"/>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3" fillId="3" fontId="2" numFmtId="0" xfId="0" applyAlignment="1" applyBorder="1" applyFont="1">
      <alignment readingOrder="0" shrinkToFit="0" vertical="center" wrapText="1"/>
    </xf>
    <xf borderId="2" fillId="3" fontId="2" numFmtId="0" xfId="0" applyAlignment="1" applyBorder="1" applyFont="1">
      <alignment readingOrder="0" shrinkToFit="0" vertical="center" wrapText="1"/>
    </xf>
    <xf borderId="2" fillId="3" fontId="2" numFmtId="0" xfId="0" applyAlignment="1" applyBorder="1" applyFont="1">
      <alignment shrinkToFit="0" vertical="center" wrapText="1"/>
    </xf>
    <xf borderId="2" fillId="3" fontId="5" numFmtId="0" xfId="0" applyAlignment="1" applyBorder="1" applyFont="1">
      <alignment shrinkToFit="0" vertical="center" wrapText="0"/>
    </xf>
    <xf borderId="4" fillId="3" fontId="5" numFmtId="0" xfId="0" applyAlignment="1" applyBorder="1" applyFont="1">
      <alignment shrinkToFit="0" vertical="center" wrapText="0"/>
    </xf>
    <xf borderId="5" fillId="2" fontId="5" numFmtId="0" xfId="0" applyAlignment="1" applyBorder="1" applyFont="1">
      <alignment readingOrder="0" shrinkToFit="0" vertical="center" wrapText="0"/>
    </xf>
    <xf borderId="1" fillId="2" fontId="5" numFmtId="0" xfId="0" applyAlignment="1" applyBorder="1" applyFont="1">
      <alignment shrinkToFit="0" vertical="center" wrapText="0"/>
    </xf>
    <xf borderId="1" fillId="2" fontId="5" numFmtId="0" xfId="0" applyAlignment="1" applyBorder="1" applyFont="1">
      <alignment shrinkToFit="0" vertical="center" wrapText="0"/>
    </xf>
    <xf borderId="6" fillId="2" fontId="5" numFmtId="0" xfId="0" applyAlignment="1" applyBorder="1" applyFont="1">
      <alignment shrinkToFit="0" vertical="center" wrapText="0"/>
    </xf>
    <xf borderId="3" fillId="3" fontId="5" numFmtId="0" xfId="0" applyAlignment="1" applyBorder="1" applyFont="1">
      <alignment shrinkToFit="0" vertical="center" wrapText="0"/>
    </xf>
    <xf borderId="2" fillId="3" fontId="5" numFmtId="0" xfId="0" applyAlignment="1" applyBorder="1" applyFont="1">
      <alignment shrinkToFit="0" vertical="center" wrapText="0"/>
    </xf>
    <xf borderId="2" fillId="3" fontId="5" numFmtId="0" xfId="0" applyAlignment="1" applyBorder="1" applyFont="1">
      <alignment readingOrder="0" shrinkToFit="0" vertical="center" wrapText="0"/>
    </xf>
    <xf borderId="4" fillId="3" fontId="5" numFmtId="0" xfId="0" applyAlignment="1" applyBorder="1" applyFont="1">
      <alignment readingOrder="0" shrinkToFit="0" vertical="center" wrapText="0"/>
    </xf>
    <xf borderId="5" fillId="2" fontId="5" numFmtId="0" xfId="0" applyAlignment="1" applyBorder="1" applyFont="1">
      <alignment shrinkToFit="0" vertical="center" wrapText="0"/>
    </xf>
    <xf borderId="1" fillId="2" fontId="5" numFmtId="0" xfId="0" applyAlignment="1" applyBorder="1" applyFont="1">
      <alignment readingOrder="0" shrinkToFit="0" vertical="center" wrapText="0"/>
    </xf>
    <xf borderId="6" fillId="2" fontId="5" numFmtId="0" xfId="0" applyAlignment="1" applyBorder="1" applyFont="1">
      <alignment readingOrder="0" shrinkToFit="0" vertical="center" wrapText="0"/>
    </xf>
    <xf borderId="7" fillId="2" fontId="5" numFmtId="0" xfId="0" applyAlignment="1" applyBorder="1" applyFont="1">
      <alignment shrinkToFit="0" vertical="center" wrapText="0"/>
    </xf>
    <xf borderId="8" fillId="2" fontId="5" numFmtId="0" xfId="0" applyAlignment="1" applyBorder="1" applyFont="1">
      <alignment shrinkToFit="0" vertical="center" wrapText="0"/>
    </xf>
    <xf borderId="8" fillId="2" fontId="5" numFmtId="0" xfId="0" applyAlignment="1" applyBorder="1" applyFont="1">
      <alignment shrinkToFit="0" vertical="center" wrapText="0"/>
    </xf>
    <xf borderId="8" fillId="2" fontId="5" numFmtId="0" xfId="0" applyAlignment="1" applyBorder="1" applyFont="1">
      <alignment readingOrder="0" shrinkToFit="0" vertical="center" wrapText="0"/>
    </xf>
    <xf borderId="9" fillId="2" fontId="5" numFmtId="0" xfId="0" applyAlignment="1" applyBorder="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vertical="center"/>
    </xf>
    <xf borderId="0" fillId="0" fontId="1" numFmtId="0" xfId="0" applyAlignment="1" applyFont="1">
      <alignment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Students-style">
      <tableStyleElement dxfId="1" type="headerRow"/>
      <tableStyleElement dxfId="2" type="firstRowStripe"/>
      <tableStyleElement dxfId="3" type="secondRowStripe"/>
      <tableStyleElement dxfId="4" size="0" type="wholeTable"/>
    </tableStyle>
    <tableStyle count="4" pivot="0" name="Achievements-style">
      <tableStyleElement dxfId="1" type="headerRow"/>
      <tableStyleElement dxfId="2" type="firstRowStripe"/>
      <tableStyleElement dxfId="3" type="secondRowStripe"/>
      <tableStyleElement dxfId="4" size="0" type="wholeTable"/>
    </tableStyle>
    <tableStyle count="4" pivot="0" name="Belt History-style">
      <tableStyleElement dxfId="1" type="headerRow"/>
      <tableStyleElement dxfId="2" type="firstRowStripe"/>
      <tableStyleElement dxfId="3" type="secondRowStripe"/>
      <tableStyleElement dxfId="4" size="0" type="wholeTable"/>
    </tableStyle>
    <tableStyle count="4" pivot="0" name="Events-style">
      <tableStyleElement dxfId="1" type="headerRow"/>
      <tableStyleElement dxfId="2" type="firstRowStripe"/>
      <tableStyleElement dxfId="3" type="secondRowStripe"/>
      <tableStyleElement dxfId="4" size="0" type="wholeTable"/>
    </tableStyle>
    <tableStyle count="4" pivot="0" name="Attendance-style">
      <tableStyleElement dxfId="1" type="headerRow"/>
      <tableStyleElement dxfId="2" type="firstRowStripe"/>
      <tableStyleElement dxfId="3" type="secondRowStripe"/>
      <tableStyleElement dxfId="4" size="0" type="wholeTable"/>
    </tableStyle>
    <tableStyle count="4" pivot="0" name="Payment_Tracker-style">
      <tableStyleElement dxfId="1" type="headerRow"/>
      <tableStyleElement dxfId="2" type="firstRowStripe"/>
      <tableStyleElement dxfId="3" type="secondRowStripe"/>
      <tableStyleElement dxfId="4" size="0" type="wholeTable"/>
    </tableStyle>
    <tableStyle count="4" pivot="0" name="Belt_Curriculum-style">
      <tableStyleElement dxfId="1" type="headerRow"/>
      <tableStyleElement dxfId="2" type="firstRowStripe"/>
      <tableStyleElement dxfId="3" type="secondRowStripe"/>
      <tableStyleElement dxfId="4" size="0" type="wholeTable"/>
    </tableStyle>
    <tableStyle count="4" pivot="0" name="Belt_Philosophy-style">
      <tableStyleElement dxfId="1" type="headerRow"/>
      <tableStyleElement dxfId="2" type="firstRowStripe"/>
      <tableStyleElement dxfId="3" type="secondRowStripe"/>
      <tableStyleElement dxfId="4" size="0" type="wholeTable"/>
    </tableStyle>
    <tableStyle count="4" pivot="0" name="Payments_Data-style">
      <tableStyleElement dxfId="1" type="headerRow"/>
      <tableStyleElement dxfId="2" type="firstRowStripe"/>
      <tableStyleElement dxfId="3" type="secondRowStripe"/>
      <tableStyleElement dxfId="4" size="0" type="wholeTable"/>
    </tableStyle>
    <tableStyle count="4" pivot="0" name="Login-style">
      <tableStyleElement dxfId="1" type="headerRow"/>
      <tableStyleElement dxfId="2" type="firstRowStripe"/>
      <tableStyleElement dxfId="3" type="secondRowStripe"/>
      <tableStyleElement dxfId="4" size="0" type="wholeTable"/>
    </tableStyle>
    <tableStyle count="4" pivot="0" name="Login_adm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45" displayName="Students" name="Students" id="1">
  <tableColumns count="17">
    <tableColumn name="Student ID" id="1"/>
    <tableColumn name="Khmer Name" id="2"/>
    <tableColumn name="English Name" id="3"/>
    <tableColumn name="Gender" id="4"/>
    <tableColumn name="Current Belt" id="5"/>
    <tableColumn name="Months at Current Belt" id="6"/>
    <tableColumn name="Eligible for Test?" id="7"/>
    <tableColumn name="DOB" id="8"/>
    <tableColumn name="Email" id="9"/>
    <tableColumn name="Phone" id="10"/>
    <tableColumn name="Registration Date" id="11"/>
    <tableColumn name="Scholarship" id="12"/>
    <tableColumn name="Scholarship Type" id="13"/>
    <tableColumn name="Profile Picture ID" id="14"/>
    <tableColumn name="E-Sign ID" id="15"/>
    <tableColumn name="Height" id="16"/>
    <tableColumn name="Weight" id="17"/>
  </tableColumns>
  <tableStyleInfo name="Students-style" showColumnStripes="0" showFirstColumn="1" showLastColumn="1" showRowStripes="1"/>
</table>
</file>

<file path=xl/tables/table2.xml><?xml version="1.0" encoding="utf-8"?>
<table xmlns="http://schemas.openxmlformats.org/spreadsheetml/2006/main" ref="A1:I67" displayName="Achievements" name="Achievements" id="2">
  <tableColumns count="9">
    <tableColumn name="Student ID" id="1"/>
    <tableColumn name="Student Name" id="2"/>
    <tableColumn name="Event Name" id="3"/>
    <tableColumn name="Date" id="4"/>
    <tableColumn name="Category" id="5"/>
    <tableColumn name="Division" id="6"/>
    <tableColumn name="Medal/Rank" id="7"/>
    <tableColumn name="Notes" id="8"/>
    <tableColumn name="Description" id="9"/>
  </tableColumns>
  <tableStyleInfo name="Achievements-style" showColumnStripes="0" showFirstColumn="1" showLastColumn="1" showRowStripes="1"/>
</table>
</file>

<file path=xl/tables/table3.xml><?xml version="1.0" encoding="utf-8"?>
<table xmlns="http://schemas.openxmlformats.org/spreadsheetml/2006/main" ref="A1:E95" displayName="Belt_History" name="Belt_History" id="3">
  <tableColumns count="5">
    <tableColumn name="Student ID" id="1"/>
    <tableColumn name="Belt" id="2"/>
    <tableColumn name="Promotion Date" id="3"/>
    <tableColumn name="Result" id="4"/>
    <tableColumn name="Student Name" id="5"/>
  </tableColumns>
  <tableStyleInfo name="Belt History-style" showColumnStripes="0" showFirstColumn="1" showLastColumn="1" showRowStripes="1"/>
</table>
</file>

<file path=xl/tables/table4.xml><?xml version="1.0" encoding="utf-8"?>
<table xmlns="http://schemas.openxmlformats.org/spreadsheetml/2006/main" ref="A1:I30" displayName="Events" name="Events" id="4">
  <tableColumns count="9">
    <tableColumn name="Name" id="1"/>
    <tableColumn name="Type" id="2"/>
    <tableColumn name="Reg Start" id="3"/>
    <tableColumn name="Reg Close" id="4"/>
    <tableColumn name="Event Start" id="5"/>
    <tableColumn name="Event Close" id="6"/>
    <tableColumn name="Location" id="7"/>
    <tableColumn name="Description" id="8"/>
    <tableColumn name="Status" id="9"/>
  </tableColumns>
  <tableStyleInfo name="Events-style" showColumnStripes="0" showFirstColumn="1" showLastColumn="1" showRowStripes="1"/>
</table>
</file>

<file path=xl/tables/table5.xml><?xml version="1.0" encoding="utf-8"?>
<table xmlns="http://schemas.openxmlformats.org/spreadsheetml/2006/main" ref="A1:D660" displayName="Attendance" name="Attendance" id="5">
  <tableColumns count="4">
    <tableColumn name="Student ID" id="1"/>
    <tableColumn name="Student Name" id="2"/>
    <tableColumn name="Date" id="3"/>
    <tableColumn name="Status" id="4"/>
  </tableColumns>
  <tableStyleInfo name="Attendance-style" showColumnStripes="0" showFirstColumn="1" showLastColumn="1" showRowStripes="1"/>
</table>
</file>

<file path=xl/tables/table6.xml><?xml version="1.0" encoding="utf-8"?>
<table xmlns="http://schemas.openxmlformats.org/spreadsheetml/2006/main" ref="A3:O46" displayName="Payment_Tracker" name="Payment_Tracker" id="6">
  <tableColumns count="15">
    <tableColumn name="Student ID" id="1"/>
    <tableColumn name="Khmer Full Name" id="2"/>
    <tableColumn name="English Full Name" id="3"/>
    <tableColumn name="Jan" id="4"/>
    <tableColumn name="Feb" id="5"/>
    <tableColumn name="Mar" id="6"/>
    <tableColumn name="Apr" id="7"/>
    <tableColumn name="May" id="8"/>
    <tableColumn name="Jun" id="9"/>
    <tableColumn name="Jul" id="10"/>
    <tableColumn name="Aug" id="11"/>
    <tableColumn name="Sep" id="12"/>
    <tableColumn name="Oct" id="13"/>
    <tableColumn name="Nov" id="14"/>
    <tableColumn name="Dec" id="15"/>
  </tableColumns>
  <tableStyleInfo name="Payment_Tracker-style" showColumnStripes="0" showFirstColumn="1" showLastColumn="1" showRowStripes="1"/>
</table>
</file>

<file path=xl/tables/table7.xml><?xml version="1.0" encoding="utf-8"?>
<table xmlns="http://schemas.openxmlformats.org/spreadsheetml/2006/main" ref="A1:J104" displayName="Belt_Curriculum" name="Belt_Curriculum" id="7">
  <tableColumns count="10">
    <tableColumn name="Belt_Level" id="1"/>
    <tableColumn name="Category" id="2"/>
    <tableColumn name="Title" id="3"/>
    <tableColumn name="Sub_Title" id="4"/>
    <tableColumn name="Description" id="5"/>
    <tableColumn name="Focus" id="6"/>
    <tableColumn name="Video_URL" id="7"/>
    <tableColumn name="Tag" id="8"/>
    <tableColumn name="Level" id="9"/>
    <tableColumn name="Prerequisite" id="10"/>
  </tableColumns>
  <tableStyleInfo name="Belt_Curriculum-style" showColumnStripes="0" showFirstColumn="1" showLastColumn="1" showRowStripes="1"/>
</table>
</file>

<file path=xl/tables/table8.xml><?xml version="1.0" encoding="utf-8"?>
<table xmlns="http://schemas.openxmlformats.org/spreadsheetml/2006/main" ref="A1:D11" displayName="Table8" name="Table8" id="8">
  <tableColumns count="4">
    <tableColumn name="Belt_Level" id="1"/>
    <tableColumn name="Meaning" id="2"/>
    <tableColumn name="Motivation_Quote" id="3"/>
    <tableColumn name="Spirit_Focus" id="4"/>
  </tableColumns>
  <tableStyleInfo name="Belt_Philosophy-style" showColumnStripes="0" showFirstColumn="1" showLastColumn="1" showRowStripes="1"/>
</table>
</file>

<file path=xl/tables/table9.xml><?xml version="1.0" encoding="utf-8"?>
<table xmlns="http://schemas.openxmlformats.org/spreadsheetml/2006/main" ref="A1:G112" displayName="Payments_Data" name="Payments_Data" id="9">
  <tableColumns count="7">
    <tableColumn name="Year" id="1"/>
    <tableColumn name="Student ID" id="2"/>
    <tableColumn name="For Month" id="3"/>
    <tableColumn name="Status" id="4"/>
    <tableColumn name="Payment Date" id="5"/>
    <tableColumn name="Amount" id="6"/>
    <tableColumn name="Student Name" id="7"/>
  </tableColumns>
  <tableStyleInfo name="Payments_Data-style" showColumnStripes="0" showFirstColumn="1" showLastColumn="1" showRowStripes="1"/>
</table>
</file>

<file path=xl/tables/table10.xml><?xml version="1.0" encoding="utf-8"?>
<table xmlns="http://schemas.openxmlformats.org/spreadsheetml/2006/main" ref="A1:B46" displayName="Login" name="Login" id="10">
  <tableColumns count="2">
    <tableColumn name="Student ID" id="1"/>
    <tableColumn name="Pass" id="2"/>
  </tableColumns>
  <tableStyleInfo name="Login-style" showColumnStripes="0" showFirstColumn="1" showLastColumn="1" showRowStripes="1"/>
</table>
</file>

<file path=xl/tables/table11.xml><?xml version="1.0" encoding="utf-8"?>
<table xmlns="http://schemas.openxmlformats.org/spreadsheetml/2006/main" ref="A1:E8" displayName="Login_admin" name="Login_admin" id="11">
  <tableColumns count="5">
    <tableColumn name="username" id="1"/>
    <tableColumn name="password_hash" id="2"/>
    <tableColumn name="display_name" id="3"/>
    <tableColumn name="role" id="4"/>
    <tableColumn name="avatar_url" id="5"/>
  </tableColumns>
  <tableStyleInfo name="Login_adm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youtube.com/watch?v=yZa58trsVac" TargetMode="External"/><Relationship Id="rId11" Type="http://schemas.openxmlformats.org/officeDocument/2006/relationships/hyperlink" Target="https://www.youtube.com/watch?v=Q4dYdFRbE4U" TargetMode="External"/><Relationship Id="rId10" Type="http://schemas.openxmlformats.org/officeDocument/2006/relationships/hyperlink" Target="https://www.youtube.com/watch?v=CRGVSOmaQaY" TargetMode="External"/><Relationship Id="rId21" Type="http://schemas.openxmlformats.org/officeDocument/2006/relationships/drawing" Target="../drawings/drawing7.xml"/><Relationship Id="rId13" Type="http://schemas.openxmlformats.org/officeDocument/2006/relationships/hyperlink" Target="https://www.youtube.com/watch?v=hOZB0IESJ38" TargetMode="External"/><Relationship Id="rId12" Type="http://schemas.openxmlformats.org/officeDocument/2006/relationships/hyperlink" Target="https://www.youtube.com/watch?v=RB-7mBtvtZw" TargetMode="External"/><Relationship Id="rId23" Type="http://schemas.openxmlformats.org/officeDocument/2006/relationships/table" Target="../tables/table7.xml"/><Relationship Id="rId1" Type="http://schemas.openxmlformats.org/officeDocument/2006/relationships/hyperlink" Target="https://www.youtube.com/watch?v=WhkjRruCBTo" TargetMode="External"/><Relationship Id="rId2" Type="http://schemas.openxmlformats.org/officeDocument/2006/relationships/hyperlink" Target="https://www.youtube.com/watch?v=tGlrUplKHh8" TargetMode="External"/><Relationship Id="rId3" Type="http://schemas.openxmlformats.org/officeDocument/2006/relationships/hyperlink" Target="https://www.youtube.com/watch?v=ksSqKt0UkWo" TargetMode="External"/><Relationship Id="rId4" Type="http://schemas.openxmlformats.org/officeDocument/2006/relationships/hyperlink" Target="https://www.youtube.com/watch?v=Lt917gacJho" TargetMode="External"/><Relationship Id="rId9" Type="http://schemas.openxmlformats.org/officeDocument/2006/relationships/hyperlink" Target="https://www.youtube.com/watch?v=mGa60JDtWmg" TargetMode="External"/><Relationship Id="rId15" Type="http://schemas.openxmlformats.org/officeDocument/2006/relationships/hyperlink" Target="https://www.youtube.com/watch?v=FcCts3yYaW8" TargetMode="External"/><Relationship Id="rId14" Type="http://schemas.openxmlformats.org/officeDocument/2006/relationships/hyperlink" Target="https://www.youtube.com/watch?v=nur2WsN7dQw" TargetMode="External"/><Relationship Id="rId17" Type="http://schemas.openxmlformats.org/officeDocument/2006/relationships/hyperlink" Target="https://www.youtube.com/watch?v=uNF9KFiOlnE" TargetMode="External"/><Relationship Id="rId16" Type="http://schemas.openxmlformats.org/officeDocument/2006/relationships/hyperlink" Target="https://www.youtube.com/watch?v=lFG994zIt0Q" TargetMode="External"/><Relationship Id="rId5" Type="http://schemas.openxmlformats.org/officeDocument/2006/relationships/hyperlink" Target="https://www.youtube.com/watch?v=VdqNEAHWCBM" TargetMode="External"/><Relationship Id="rId19" Type="http://schemas.openxmlformats.org/officeDocument/2006/relationships/hyperlink" Target="https://www.youtube.com/watch?v=s0GSoI8UM4U" TargetMode="External"/><Relationship Id="rId6" Type="http://schemas.openxmlformats.org/officeDocument/2006/relationships/hyperlink" Target="https://www.youtube.com/watch?v=jcBwWo4wN7c" TargetMode="External"/><Relationship Id="rId18" Type="http://schemas.openxmlformats.org/officeDocument/2006/relationships/hyperlink" Target="https://www.youtube.com/watch?v=mglxY9DK8Gs" TargetMode="External"/><Relationship Id="rId7" Type="http://schemas.openxmlformats.org/officeDocument/2006/relationships/hyperlink" Target="https://www.youtube.com/watch?v=6FUM1p6qqhQ" TargetMode="External"/><Relationship Id="rId8" Type="http://schemas.openxmlformats.org/officeDocument/2006/relationships/hyperlink" Target="https://www.youtube.com/watch?v=Gr_Je2ZkgkI"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88"/>
    <col customWidth="1" min="2" max="2" width="23.38"/>
    <col customWidth="1" min="3" max="3" width="26.63"/>
    <col customWidth="1" min="4" max="4" width="12.63"/>
    <col customWidth="1" min="5" max="5" width="19.75"/>
    <col customWidth="1" min="6" max="6" width="15.5"/>
    <col customWidth="1" min="7" max="7" width="12.88"/>
    <col customWidth="1" min="8" max="8" width="15.88"/>
    <col customWidth="1" min="9" max="9" width="29.5"/>
    <col customWidth="1" min="10" max="10" width="14.25"/>
    <col customWidth="1" min="11" max="11" width="17.88"/>
    <col customWidth="1" min="12" max="12" width="17.0"/>
    <col customWidth="1" min="13" max="13" width="21.38"/>
  </cols>
  <sheetData>
    <row r="1" ht="22.5" customHeight="1">
      <c r="A1" s="1" t="s">
        <v>0</v>
      </c>
      <c r="B1" s="1" t="s">
        <v>1</v>
      </c>
      <c r="C1" s="1" t="s">
        <v>2</v>
      </c>
      <c r="D1" s="1" t="s">
        <v>3</v>
      </c>
      <c r="E1" s="2" t="s">
        <v>4</v>
      </c>
      <c r="F1" s="3" t="s">
        <v>5</v>
      </c>
      <c r="G1" s="4" t="s">
        <v>6</v>
      </c>
      <c r="H1" s="5" t="s">
        <v>7</v>
      </c>
      <c r="I1" s="1" t="s">
        <v>8</v>
      </c>
      <c r="J1" s="2" t="s">
        <v>9</v>
      </c>
      <c r="K1" s="2" t="s">
        <v>10</v>
      </c>
      <c r="L1" s="2" t="s">
        <v>11</v>
      </c>
      <c r="M1" s="2" t="s">
        <v>12</v>
      </c>
      <c r="N1" s="2" t="s">
        <v>13</v>
      </c>
      <c r="O1" s="2" t="s">
        <v>14</v>
      </c>
      <c r="P1" s="2" t="s">
        <v>15</v>
      </c>
      <c r="Q1" s="2" t="s">
        <v>16</v>
      </c>
    </row>
    <row r="2" ht="22.5" customHeight="1">
      <c r="A2" s="6" t="str">
        <f>IFERROR(__xludf.DUMMYFUNCTION("QUERY(
  IMPORTRANGE(""https://docs.google.com/spreadsheets/d/1oC1mkTIsNSeoiQEOod3PuoHmn0fAHZDJSibfI9Nfu1U/edit?resourcekey=&amp;gid=209778003#gid=209778003"",""Students!A2:K""),
  ""select * where Col2 &lt;&gt; 'Student ID'"",
  1
)
"),"STU-F-001")</f>
        <v>STU-F-001</v>
      </c>
      <c r="B2" s="7" t="str">
        <f>IFERROR(__xludf.DUMMYFUNCTION("""COMPUTED_VALUE"""),"សៅពេជ្រ  រិទ្ធីណា")</f>
        <v>សៅពេជ្រ  រិទ្ធីណា</v>
      </c>
      <c r="C2" s="7" t="str">
        <f>IFERROR(__xludf.DUMMYFUNCTION("""COMPUTED_VALUE"""),"Saopich Rithyna")</f>
        <v>Saopich Rithyna</v>
      </c>
      <c r="D2" s="8" t="str">
        <f>IFERROR(__xludf.DUMMYFUNCTION("""COMPUTED_VALUE"""),"Female")</f>
        <v>Female</v>
      </c>
      <c r="E2" s="8" t="str">
        <f>IFERROR(__xludf.DUMMYFUNCTION("""COMPUTED_VALUE"""),"Black 1 Poom/Dan")</f>
        <v>Black 1 Poom/Dan</v>
      </c>
      <c r="F2" s="6" t="str">
        <f>IFERROR(__xludf.DUMMYFUNCTION("""COMPUTED_VALUE"""),"2")</f>
        <v>2</v>
      </c>
      <c r="G2" s="8" t="str">
        <f>IFERROR(__xludf.DUMMYFUNCTION("""COMPUTED_VALUE"""),"NO")</f>
        <v>NO</v>
      </c>
      <c r="H2" s="9" t="str">
        <f>IFERROR(__xludf.DUMMYFUNCTION("""COMPUTED_VALUE"""),"21-Feb-2008")</f>
        <v>21-Feb-2008</v>
      </c>
      <c r="I2" s="7" t="str">
        <f>IFERROR(__xludf.DUMMYFUNCTION("""COMPUTED_VALUE"""),"pichrithynaa@gmail.com")</f>
        <v>pichrithynaa@gmail.com</v>
      </c>
      <c r="J2" s="6" t="str">
        <f>IFERROR(__xludf.DUMMYFUNCTION("""COMPUTED_VALUE"""),"081 570 816")</f>
        <v>081 570 816</v>
      </c>
      <c r="K2" s="6" t="str">
        <f>IFERROR(__xludf.DUMMYFUNCTION("""COMPUTED_VALUE"""),"18-Aug-2025")</f>
        <v>18-Aug-2025</v>
      </c>
      <c r="L2" s="10" t="s">
        <v>17</v>
      </c>
      <c r="M2" s="10" t="s">
        <v>18</v>
      </c>
      <c r="N2" s="11" t="s">
        <v>19</v>
      </c>
    </row>
    <row r="3" ht="22.5" customHeight="1">
      <c r="A3" s="11" t="str">
        <f>IFERROR(__xludf.DUMMYFUNCTION("""COMPUTED_VALUE"""),"STU-M-002")</f>
        <v>STU-M-002</v>
      </c>
      <c r="B3" s="7" t="str">
        <f>IFERROR(__xludf.DUMMYFUNCTION("""COMPUTED_VALUE"""),"ហាក់ លីម៉េង")</f>
        <v>ហាក់ លីម៉េង</v>
      </c>
      <c r="C3" s="7" t="str">
        <f>IFERROR(__xludf.DUMMYFUNCTION("""COMPUTED_VALUE"""),"Hak Lymeng")</f>
        <v>Hak Lymeng</v>
      </c>
      <c r="D3" s="8" t="str">
        <f>IFERROR(__xludf.DUMMYFUNCTION("""COMPUTED_VALUE"""),"Male")</f>
        <v>Male</v>
      </c>
      <c r="E3" s="8" t="str">
        <f>IFERROR(__xludf.DUMMYFUNCTION("""COMPUTED_VALUE"""),"Yellow")</f>
        <v>Yellow</v>
      </c>
      <c r="F3" s="6">
        <f>IFERROR(__xludf.DUMMYFUNCTION("""COMPUTED_VALUE"""),4.0)</f>
        <v>4</v>
      </c>
      <c r="G3" s="8" t="str">
        <f>IFERROR(__xludf.DUMMYFUNCTION("""COMPUTED_VALUE"""),"YES")</f>
        <v>YES</v>
      </c>
      <c r="H3" s="9">
        <f>IFERROR(__xludf.DUMMYFUNCTION("""COMPUTED_VALUE"""),40014.0)</f>
        <v>40014</v>
      </c>
      <c r="I3" s="7" t="str">
        <f>IFERROR(__xludf.DUMMYFUNCTION("""COMPUTED_VALUE"""),"lymeng7051@gmail.com")</f>
        <v>lymeng7051@gmail.com</v>
      </c>
      <c r="J3" s="6" t="str">
        <f>IFERROR(__xludf.DUMMYFUNCTION("""COMPUTED_VALUE"""),"095328185")</f>
        <v>095328185</v>
      </c>
      <c r="K3" s="9">
        <f>IFERROR(__xludf.DUMMYFUNCTION("""COMPUTED_VALUE"""),45887.0)</f>
        <v>45887</v>
      </c>
      <c r="L3" s="10" t="s">
        <v>17</v>
      </c>
      <c r="M3" s="10" t="s">
        <v>20</v>
      </c>
      <c r="N3" s="11" t="s">
        <v>21</v>
      </c>
    </row>
    <row r="4" ht="22.5" customHeight="1">
      <c r="A4" s="11" t="str">
        <f>IFERROR(__xludf.DUMMYFUNCTION("""COMPUTED_VALUE"""),"STU-F-003")</f>
        <v>STU-F-003</v>
      </c>
      <c r="B4" s="7" t="str">
        <f>IFERROR(__xludf.DUMMYFUNCTION("""COMPUTED_VALUE"""),"អុឹង ចំរើនរាសី")</f>
        <v>អុឹង ចំរើនរាសី</v>
      </c>
      <c r="C4" s="7" t="str">
        <f>IFERROR(__xludf.DUMMYFUNCTION("""COMPUTED_VALUE"""),"Oeng Chamroeunreasey")</f>
        <v>Oeng Chamroeunreasey</v>
      </c>
      <c r="D4" s="8" t="str">
        <f>IFERROR(__xludf.DUMMYFUNCTION("""COMPUTED_VALUE"""),"Female")</f>
        <v>Female</v>
      </c>
      <c r="E4" s="8" t="str">
        <f>IFERROR(__xludf.DUMMYFUNCTION("""COMPUTED_VALUE"""),"Black 1 Poom/Dan")</f>
        <v>Black 1 Poom/Dan</v>
      </c>
      <c r="F4" s="6">
        <f>IFERROR(__xludf.DUMMYFUNCTION("""COMPUTED_VALUE"""),21.0)</f>
        <v>21</v>
      </c>
      <c r="G4" s="8" t="str">
        <f>IFERROR(__xludf.DUMMYFUNCTION("""COMPUTED_VALUE"""),"YES")</f>
        <v>YES</v>
      </c>
      <c r="H4" s="9">
        <f>IFERROR(__xludf.DUMMYFUNCTION("""COMPUTED_VALUE"""),40178.0)</f>
        <v>40178</v>
      </c>
      <c r="I4" s="7" t="str">
        <f>IFERROR(__xludf.DUMMYFUNCTION("""COMPUTED_VALUE"""),"chamroeunreaseyoeng777@gmail.com")</f>
        <v>chamroeunreaseyoeng777@gmail.com</v>
      </c>
      <c r="J4" s="6" t="str">
        <f>IFERROR(__xludf.DUMMYFUNCTION("""COMPUTED_VALUE"""),"017319161")</f>
        <v>017319161</v>
      </c>
      <c r="K4" s="9">
        <f>IFERROR(__xludf.DUMMYFUNCTION("""COMPUTED_VALUE"""),45887.0)</f>
        <v>45887</v>
      </c>
      <c r="L4" s="10" t="s">
        <v>22</v>
      </c>
      <c r="M4" s="8"/>
      <c r="N4" s="11" t="s">
        <v>23</v>
      </c>
    </row>
    <row r="5" ht="22.5" customHeight="1">
      <c r="A5" s="11" t="str">
        <f>IFERROR(__xludf.DUMMYFUNCTION("""COMPUTED_VALUE"""),"STU-F-004")</f>
        <v>STU-F-004</v>
      </c>
      <c r="B5" s="7" t="str">
        <f>IFERROR(__xludf.DUMMYFUNCTION("""COMPUTED_VALUE"""),"មិត សុធា")</f>
        <v>មិត សុធា</v>
      </c>
      <c r="C5" s="7" t="str">
        <f>IFERROR(__xludf.DUMMYFUNCTION("""COMPUTED_VALUE"""),"Sothea Mith")</f>
        <v>Sothea Mith</v>
      </c>
      <c r="D5" s="8" t="str">
        <f>IFERROR(__xludf.DUMMYFUNCTION("""COMPUTED_VALUE"""),"Female")</f>
        <v>Female</v>
      </c>
      <c r="E5" s="8" t="str">
        <f>IFERROR(__xludf.DUMMYFUNCTION("""COMPUTED_VALUE"""),"Yellow")</f>
        <v>Yellow</v>
      </c>
      <c r="F5" s="6">
        <f>IFERROR(__xludf.DUMMYFUNCTION("""COMPUTED_VALUE"""),4.0)</f>
        <v>4</v>
      </c>
      <c r="G5" s="8" t="str">
        <f>IFERROR(__xludf.DUMMYFUNCTION("""COMPUTED_VALUE"""),"YES")</f>
        <v>YES</v>
      </c>
      <c r="H5" s="9">
        <f>IFERROR(__xludf.DUMMYFUNCTION("""COMPUTED_VALUE"""),39856.0)</f>
        <v>39856</v>
      </c>
      <c r="I5" s="7" t="str">
        <f>IFERROR(__xludf.DUMMYFUNCTION("""COMPUTED_VALUE"""),"sothea4564@gmail.com")</f>
        <v>sothea4564@gmail.com</v>
      </c>
      <c r="J5" s="6" t="str">
        <f>IFERROR(__xludf.DUMMYFUNCTION("""COMPUTED_VALUE"""),"0764977501")</f>
        <v>0764977501</v>
      </c>
      <c r="K5" s="9">
        <f>IFERROR(__xludf.DUMMYFUNCTION("""COMPUTED_VALUE"""),45914.0)</f>
        <v>45914</v>
      </c>
      <c r="L5" s="10" t="s">
        <v>22</v>
      </c>
      <c r="M5" s="8"/>
      <c r="N5" s="11" t="s">
        <v>24</v>
      </c>
    </row>
    <row r="6" ht="22.5" customHeight="1">
      <c r="A6" s="7" t="str">
        <f>IFERROR(__xludf.DUMMYFUNCTION("""COMPUTED_VALUE"""),"STU-F-005")</f>
        <v>STU-F-005</v>
      </c>
      <c r="B6" s="7" t="str">
        <f>IFERROR(__xludf.DUMMYFUNCTION("""COMPUTED_VALUE"""),"ហែម កែវទិត្យសុបុណ្យនារី")</f>
        <v>ហែម កែវទិត្យសុបុណ្យនារី</v>
      </c>
      <c r="C6" s="7" t="str">
        <f>IFERROR(__xludf.DUMMYFUNCTION("""COMPUTED_VALUE"""),"Hem Keotetsobonneary")</f>
        <v>Hem Keotetsobonneary</v>
      </c>
      <c r="D6" s="8" t="str">
        <f>IFERROR(__xludf.DUMMYFUNCTION("""COMPUTED_VALUE"""),"Female")</f>
        <v>Female</v>
      </c>
      <c r="E6" s="8" t="str">
        <f>IFERROR(__xludf.DUMMYFUNCTION("""COMPUTED_VALUE"""),"Red")</f>
        <v>Red</v>
      </c>
      <c r="F6" s="6">
        <f>IFERROR(__xludf.DUMMYFUNCTION("""COMPUTED_VALUE"""),13.0)</f>
        <v>13</v>
      </c>
      <c r="G6" s="8" t="str">
        <f>IFERROR(__xludf.DUMMYFUNCTION("""COMPUTED_VALUE"""),"YES")</f>
        <v>YES</v>
      </c>
      <c r="H6" s="9">
        <f>IFERROR(__xludf.DUMMYFUNCTION("""COMPUTED_VALUE"""),39460.0)</f>
        <v>39460</v>
      </c>
      <c r="I6" s="7" t="str">
        <f>IFERROR(__xludf.DUMMYFUNCTION("""COMPUTED_VALUE"""),"sobonneary.hem@gmail.com")</f>
        <v>sobonneary.hem@gmail.com</v>
      </c>
      <c r="J6" s="6" t="str">
        <f>IFERROR(__xludf.DUMMYFUNCTION("""COMPUTED_VALUE"""),"017334430")</f>
        <v>017334430</v>
      </c>
      <c r="K6" s="9">
        <f>IFERROR(__xludf.DUMMYFUNCTION("""COMPUTED_VALUE"""),45916.0)</f>
        <v>45916</v>
      </c>
      <c r="L6" s="10" t="s">
        <v>22</v>
      </c>
      <c r="M6" s="8"/>
    </row>
    <row r="7" ht="22.5" customHeight="1">
      <c r="A7" s="7" t="str">
        <f>IFERROR(__xludf.DUMMYFUNCTION("""COMPUTED_VALUE"""),"STU-F-006")</f>
        <v>STU-F-006</v>
      </c>
      <c r="B7" s="7" t="str">
        <f>IFERROR(__xludf.DUMMYFUNCTION("""COMPUTED_VALUE"""),"នៅ ធីតាពីន")</f>
        <v>នៅ ធីតាពីន</v>
      </c>
      <c r="C7" s="7" t="str">
        <f>IFERROR(__xludf.DUMMYFUNCTION("""COMPUTED_VALUE"""),"Neou Thidapin")</f>
        <v>Neou Thidapin</v>
      </c>
      <c r="D7" s="8" t="str">
        <f>IFERROR(__xludf.DUMMYFUNCTION("""COMPUTED_VALUE"""),"Female")</f>
        <v>Female</v>
      </c>
      <c r="E7" s="8" t="str">
        <f>IFERROR(__xludf.DUMMYFUNCTION("""COMPUTED_VALUE"""),"Black 2 Poom/Dan")</f>
        <v>Black 2 Poom/Dan</v>
      </c>
      <c r="F7" s="6">
        <f>IFERROR(__xludf.DUMMYFUNCTION("""COMPUTED_VALUE"""),14.0)</f>
        <v>14</v>
      </c>
      <c r="G7" s="8" t="str">
        <f>IFERROR(__xludf.DUMMYFUNCTION("""COMPUTED_VALUE"""),"NO")</f>
        <v>NO</v>
      </c>
      <c r="H7" s="9">
        <f>IFERROR(__xludf.DUMMYFUNCTION("""COMPUTED_VALUE"""),38645.0)</f>
        <v>38645</v>
      </c>
      <c r="I7" s="7" t="str">
        <f>IFERROR(__xludf.DUMMYFUNCTION("""COMPUTED_VALUE"""),"thidapinneou@gmail.com")</f>
        <v>thidapinneou@gmail.com</v>
      </c>
      <c r="J7" s="6" t="str">
        <f>IFERROR(__xludf.DUMMYFUNCTION("""COMPUTED_VALUE"""),"0766609276")</f>
        <v>0766609276</v>
      </c>
      <c r="K7" s="9">
        <f>IFERROR(__xludf.DUMMYFUNCTION("""COMPUTED_VALUE"""),45925.0)</f>
        <v>45925</v>
      </c>
      <c r="L7" s="10" t="s">
        <v>17</v>
      </c>
      <c r="M7" s="12">
        <v>0.2</v>
      </c>
      <c r="N7" s="11" t="s">
        <v>25</v>
      </c>
    </row>
    <row r="8" ht="22.5" customHeight="1">
      <c r="A8" s="7" t="str">
        <f>IFERROR(__xludf.DUMMYFUNCTION("""COMPUTED_VALUE"""),"STU-F-007")</f>
        <v>STU-F-007</v>
      </c>
      <c r="B8" s="7" t="str">
        <f>IFERROR(__xludf.DUMMYFUNCTION("""COMPUTED_VALUE"""),"អាពូបាកា រ៉ូសនាវ៉ាត្តី ")</f>
        <v>អាពូបាកា រ៉ូសនាវ៉ាត្តី </v>
      </c>
      <c r="C8" s="7" t="str">
        <f>IFERROR(__xludf.DUMMYFUNCTION("""COMPUTED_VALUE"""),"Aboubakar  Rosnavattey ")</f>
        <v>Aboubakar  Rosnavattey </v>
      </c>
      <c r="D8" s="8" t="str">
        <f>IFERROR(__xludf.DUMMYFUNCTION("""COMPUTED_VALUE"""),"Female")</f>
        <v>Female</v>
      </c>
      <c r="E8" s="8" t="str">
        <f>IFERROR(__xludf.DUMMYFUNCTION("""COMPUTED_VALUE"""),"Black 1 Poom/Dan")</f>
        <v>Black 1 Poom/Dan</v>
      </c>
      <c r="F8" s="6">
        <f>IFERROR(__xludf.DUMMYFUNCTION("""COMPUTED_VALUE"""),24.0)</f>
        <v>24</v>
      </c>
      <c r="G8" s="8" t="str">
        <f>IFERROR(__xludf.DUMMYFUNCTION("""COMPUTED_VALUE"""),"YES")</f>
        <v>YES</v>
      </c>
      <c r="H8" s="9">
        <f>IFERROR(__xludf.DUMMYFUNCTION("""COMPUTED_VALUE"""),39981.0)</f>
        <v>39981</v>
      </c>
      <c r="I8" s="7" t="str">
        <f>IFERROR(__xludf.DUMMYFUNCTION("""COMPUTED_VALUE"""),"rosnavatey2009@gmail.com")</f>
        <v>rosnavatey2009@gmail.com</v>
      </c>
      <c r="J8" s="6" t="str">
        <f>IFERROR(__xludf.DUMMYFUNCTION("""COMPUTED_VALUE"""),"0963586064")</f>
        <v>0963586064</v>
      </c>
      <c r="K8" s="9">
        <f>IFERROR(__xludf.DUMMYFUNCTION("""COMPUTED_VALUE"""),45928.0)</f>
        <v>45928</v>
      </c>
      <c r="L8" s="10" t="s">
        <v>17</v>
      </c>
      <c r="M8" s="10" t="s">
        <v>26</v>
      </c>
      <c r="N8" s="11" t="s">
        <v>27</v>
      </c>
    </row>
    <row r="9" ht="22.5" customHeight="1">
      <c r="A9" s="7" t="str">
        <f>IFERROR(__xludf.DUMMYFUNCTION("""COMPUTED_VALUE"""),"STU-F-008")</f>
        <v>STU-F-008</v>
      </c>
      <c r="B9" s="7" t="str">
        <f>IFERROR(__xludf.DUMMYFUNCTION("""COMPUTED_VALUE"""),"នុត ដានីតា")</f>
        <v>នុត ដានីតា</v>
      </c>
      <c r="C9" s="7" t="str">
        <f>IFERROR(__xludf.DUMMYFUNCTION("""COMPUTED_VALUE"""),"Nuth Danita")</f>
        <v>Nuth Danita</v>
      </c>
      <c r="D9" s="8" t="str">
        <f>IFERROR(__xludf.DUMMYFUNCTION("""COMPUTED_VALUE"""),"Female")</f>
        <v>Female</v>
      </c>
      <c r="E9" s="8" t="str">
        <f>IFERROR(__xludf.DUMMYFUNCTION("""COMPUTED_VALUE"""),"Black 1 Poom/Dan")</f>
        <v>Black 1 Poom/Dan</v>
      </c>
      <c r="F9" s="6">
        <f>IFERROR(__xludf.DUMMYFUNCTION("""COMPUTED_VALUE"""),5.0)</f>
        <v>5</v>
      </c>
      <c r="G9" s="8" t="str">
        <f>IFERROR(__xludf.DUMMYFUNCTION("""COMPUTED_VALUE"""),"NO")</f>
        <v>NO</v>
      </c>
      <c r="H9" s="9">
        <f>IFERROR(__xludf.DUMMYFUNCTION("""COMPUTED_VALUE"""),38107.0)</f>
        <v>38107</v>
      </c>
      <c r="I9" s="7" t="str">
        <f>IFERROR(__xludf.DUMMYFUNCTION("""COMPUTED_VALUE"""),"nuthdanita@gmail.com")</f>
        <v>nuthdanita@gmail.com</v>
      </c>
      <c r="J9" s="6" t="str">
        <f>IFERROR(__xludf.DUMMYFUNCTION("""COMPUTED_VALUE"""),"0967942875")</f>
        <v>0967942875</v>
      </c>
      <c r="K9" s="9">
        <f>IFERROR(__xludf.DUMMYFUNCTION("""COMPUTED_VALUE"""),45934.0)</f>
        <v>45934</v>
      </c>
      <c r="L9" s="10" t="s">
        <v>17</v>
      </c>
      <c r="M9" s="10" t="s">
        <v>20</v>
      </c>
      <c r="N9" s="11" t="s">
        <v>28</v>
      </c>
    </row>
    <row r="10" ht="22.5" customHeight="1">
      <c r="A10" s="7" t="str">
        <f>IFERROR(__xludf.DUMMYFUNCTION("""COMPUTED_VALUE"""),"STU-M-009")</f>
        <v>STU-M-009</v>
      </c>
      <c r="B10" s="7" t="str">
        <f>IFERROR(__xludf.DUMMYFUNCTION("""COMPUTED_VALUE"""),"ភេន ឌីណា")</f>
        <v>ភេន ឌីណា</v>
      </c>
      <c r="C10" s="7" t="str">
        <f>IFERROR(__xludf.DUMMYFUNCTION("""COMPUTED_VALUE"""),"Dina Pan ")</f>
        <v>Dina Pan </v>
      </c>
      <c r="D10" s="8" t="str">
        <f>IFERROR(__xludf.DUMMYFUNCTION("""COMPUTED_VALUE"""),"Male")</f>
        <v>Male</v>
      </c>
      <c r="E10" s="8" t="str">
        <f>IFERROR(__xludf.DUMMYFUNCTION("""COMPUTED_VALUE"""),"Blue")</f>
        <v>Blue</v>
      </c>
      <c r="F10" s="6"/>
      <c r="G10" s="8"/>
      <c r="H10" s="9">
        <f>IFERROR(__xludf.DUMMYFUNCTION("""COMPUTED_VALUE"""),38730.0)</f>
        <v>38730</v>
      </c>
      <c r="I10" s="7" t="str">
        <f>IFERROR(__xludf.DUMMYFUNCTION("""COMPUTED_VALUE"""),"gamingdina0@gmail.com")</f>
        <v>gamingdina0@gmail.com</v>
      </c>
      <c r="J10" s="6" t="str">
        <f>IFERROR(__xludf.DUMMYFUNCTION("""COMPUTED_VALUE"""),"0976402066")</f>
        <v>0976402066</v>
      </c>
      <c r="K10" s="9">
        <f>IFERROR(__xludf.DUMMYFUNCTION("""COMPUTED_VALUE"""),45944.0)</f>
        <v>45944</v>
      </c>
      <c r="L10" s="10" t="s">
        <v>17</v>
      </c>
      <c r="M10" s="8"/>
    </row>
    <row r="11" ht="22.5" customHeight="1">
      <c r="A11" s="7" t="str">
        <f>IFERROR(__xludf.DUMMYFUNCTION("""COMPUTED_VALUE"""),"STU-M-010")</f>
        <v>STU-M-010</v>
      </c>
      <c r="B11" s="7" t="str">
        <f>IFERROR(__xludf.DUMMYFUNCTION("""COMPUTED_VALUE"""),"សោម សុវិន")</f>
        <v>សោម សុវិន</v>
      </c>
      <c r="C11" s="7" t="str">
        <f>IFERROR(__xludf.DUMMYFUNCTION("""COMPUTED_VALUE"""),"Soam Sovin")</f>
        <v>Soam Sovin</v>
      </c>
      <c r="D11" s="8" t="str">
        <f>IFERROR(__xludf.DUMMYFUNCTION("""COMPUTED_VALUE"""),"Male")</f>
        <v>Male</v>
      </c>
      <c r="E11" s="8" t="str">
        <f>IFERROR(__xludf.DUMMYFUNCTION("""COMPUTED_VALUE"""),"Brown")</f>
        <v>Brown</v>
      </c>
      <c r="F11" s="6"/>
      <c r="G11" s="8"/>
      <c r="H11" s="9">
        <f>IFERROR(__xludf.DUMMYFUNCTION("""COMPUTED_VALUE"""),38311.0)</f>
        <v>38311</v>
      </c>
      <c r="I11" s="7" t="str">
        <f>IFERROR(__xludf.DUMMYFUNCTION("""COMPUTED_VALUE"""),"rukito5459@gmail.com")</f>
        <v>rukito5459@gmail.com</v>
      </c>
      <c r="J11" s="6" t="str">
        <f>IFERROR(__xludf.DUMMYFUNCTION("""COMPUTED_VALUE"""),"077549456")</f>
        <v>077549456</v>
      </c>
      <c r="K11" s="9">
        <f>IFERROR(__xludf.DUMMYFUNCTION("""COMPUTED_VALUE"""),45948.0)</f>
        <v>45948</v>
      </c>
      <c r="L11" s="8"/>
      <c r="M11" s="8"/>
    </row>
    <row r="12" ht="22.5" customHeight="1">
      <c r="A12" s="7" t="str">
        <f>IFERROR(__xludf.DUMMYFUNCTION("""COMPUTED_VALUE"""),"STU-F-011")</f>
        <v>STU-F-011</v>
      </c>
      <c r="B12" s="7" t="str">
        <f>IFERROR(__xludf.DUMMYFUNCTION("""COMPUTED_VALUE"""),"ឃានកែវ បាបឺរ៉ា")</f>
        <v>ឃានកែវ បាបឺរ៉ា</v>
      </c>
      <c r="C12" s="7" t="str">
        <f>IFERROR(__xludf.DUMMYFUNCTION("""COMPUTED_VALUE"""),"Kheankeo Babera")</f>
        <v>Kheankeo Babera</v>
      </c>
      <c r="D12" s="8" t="str">
        <f>IFERROR(__xludf.DUMMYFUNCTION("""COMPUTED_VALUE"""),"Female")</f>
        <v>Female</v>
      </c>
      <c r="E12" s="8" t="str">
        <f>IFERROR(__xludf.DUMMYFUNCTION("""COMPUTED_VALUE"""),"Black 1 Poom/Dan")</f>
        <v>Black 1 Poom/Dan</v>
      </c>
      <c r="F12" s="6">
        <f>IFERROR(__xludf.DUMMYFUNCTION("""COMPUTED_VALUE"""),14.0)</f>
        <v>14</v>
      </c>
      <c r="G12" s="8" t="str">
        <f>IFERROR(__xludf.DUMMYFUNCTION("""COMPUTED_VALUE"""),"YES")</f>
        <v>YES</v>
      </c>
      <c r="H12" s="9">
        <f>IFERROR(__xludf.DUMMYFUNCTION("""COMPUTED_VALUE"""),38758.0)</f>
        <v>38758</v>
      </c>
      <c r="I12" s="7" t="str">
        <f>IFERROR(__xludf.DUMMYFUNCTION("""COMPUTED_VALUE"""),"kkeobbabera@gmail.com")</f>
        <v>kkeobbabera@gmail.com</v>
      </c>
      <c r="J12" s="6" t="str">
        <f>IFERROR(__xludf.DUMMYFUNCTION("""COMPUTED_VALUE"""),"093236598")</f>
        <v>093236598</v>
      </c>
      <c r="K12" s="9">
        <f>IFERROR(__xludf.DUMMYFUNCTION("""COMPUTED_VALUE"""),45962.0)</f>
        <v>45962</v>
      </c>
      <c r="L12" s="8"/>
      <c r="M12" s="8"/>
    </row>
    <row r="13" ht="22.5" customHeight="1">
      <c r="A13" s="7" t="str">
        <f>IFERROR(__xludf.DUMMYFUNCTION("""COMPUTED_VALUE"""),"STU-F-012")</f>
        <v>STU-F-012</v>
      </c>
      <c r="B13" s="7" t="str">
        <f>IFERROR(__xludf.DUMMYFUNCTION("""COMPUTED_VALUE"""),"ទី វរលក្ខណ៍")</f>
        <v>ទី វរលក្ខណ៍</v>
      </c>
      <c r="C13" s="7" t="str">
        <f>IFERROR(__xludf.DUMMYFUNCTION("""COMPUTED_VALUE"""),"Ty Vorleak")</f>
        <v>Ty Vorleak</v>
      </c>
      <c r="D13" s="8" t="str">
        <f>IFERROR(__xludf.DUMMYFUNCTION("""COMPUTED_VALUE"""),"Female")</f>
        <v>Female</v>
      </c>
      <c r="E13" s="8" t="str">
        <f>IFERROR(__xludf.DUMMYFUNCTION("""COMPUTED_VALUE"""),"Black 1 Poom/Dan")</f>
        <v>Black 1 Poom/Dan</v>
      </c>
      <c r="F13" s="6">
        <f>IFERROR(__xludf.DUMMYFUNCTION("""COMPUTED_VALUE"""),8.0)</f>
        <v>8</v>
      </c>
      <c r="G13" s="8" t="str">
        <f>IFERROR(__xludf.DUMMYFUNCTION("""COMPUTED_VALUE"""),"NO")</f>
        <v>NO</v>
      </c>
      <c r="H13" s="9">
        <f>IFERROR(__xludf.DUMMYFUNCTION("""COMPUTED_VALUE"""),39916.0)</f>
        <v>39916</v>
      </c>
      <c r="I13" s="7" t="str">
        <f>IFERROR(__xludf.DUMMYFUNCTION("""COMPUTED_VALUE"""),"nitaeng168@gmail.com")</f>
        <v>nitaeng168@gmail.com</v>
      </c>
      <c r="J13" s="6" t="str">
        <f>IFERROR(__xludf.DUMMYFUNCTION("""COMPUTED_VALUE"""),"011 892 656")</f>
        <v>011 892 656</v>
      </c>
      <c r="K13" s="9">
        <f>IFERROR(__xludf.DUMMYFUNCTION("""COMPUTED_VALUE"""),45964.0)</f>
        <v>45964</v>
      </c>
      <c r="L13" s="10" t="s">
        <v>22</v>
      </c>
      <c r="M13" s="8"/>
    </row>
    <row r="14" ht="22.5" customHeight="1">
      <c r="A14" s="7" t="str">
        <f>IFERROR(__xludf.DUMMYFUNCTION("""COMPUTED_VALUE"""),"STU-F-013")</f>
        <v>STU-F-013</v>
      </c>
      <c r="B14" s="7" t="str">
        <f>IFERROR(__xludf.DUMMYFUNCTION("""COMPUTED_VALUE"""),"សំនៀង ឡេអុងទីន")</f>
        <v>សំនៀង ឡេអុងទីន</v>
      </c>
      <c r="C14" s="7" t="str">
        <f>IFERROR(__xludf.DUMMYFUNCTION("""COMPUTED_VALUE"""),"Samneang Leongtin")</f>
        <v>Samneang Leongtin</v>
      </c>
      <c r="D14" s="8" t="str">
        <f>IFERROR(__xludf.DUMMYFUNCTION("""COMPUTED_VALUE"""),"Female")</f>
        <v>Female</v>
      </c>
      <c r="E14" s="8" t="str">
        <f>IFERROR(__xludf.DUMMYFUNCTION("""COMPUTED_VALUE"""),"White")</f>
        <v>White</v>
      </c>
      <c r="F14" s="6">
        <f>IFERROR(__xludf.DUMMYFUNCTION("""COMPUTED_VALUE"""),2.0)</f>
        <v>2</v>
      </c>
      <c r="G14" s="8" t="str">
        <f>IFERROR(__xludf.DUMMYFUNCTION("""COMPUTED_VALUE"""),"NO")</f>
        <v>NO</v>
      </c>
      <c r="H14" s="9">
        <f>IFERROR(__xludf.DUMMYFUNCTION("""COMPUTED_VALUE"""),39143.0)</f>
        <v>39143</v>
      </c>
      <c r="I14" s="7" t="str">
        <f>IFERROR(__xludf.DUMMYFUNCTION("""COMPUTED_VALUE"""),"leongtin92@gmail.com")</f>
        <v>leongtin92@gmail.com</v>
      </c>
      <c r="J14" s="6" t="str">
        <f>IFERROR(__xludf.DUMMYFUNCTION("""COMPUTED_VALUE"""),"085662045")</f>
        <v>085662045</v>
      </c>
      <c r="K14" s="9">
        <f>IFERROR(__xludf.DUMMYFUNCTION("""COMPUTED_VALUE"""),45964.0)</f>
        <v>45964</v>
      </c>
      <c r="L14" s="10" t="s">
        <v>22</v>
      </c>
      <c r="M14" s="8"/>
    </row>
    <row r="15" ht="22.5" customHeight="1">
      <c r="A15" s="7" t="str">
        <f>IFERROR(__xludf.DUMMYFUNCTION("""COMPUTED_VALUE"""),"STU-F-014")</f>
        <v>STU-F-014</v>
      </c>
      <c r="B15" s="7" t="str">
        <f>IFERROR(__xludf.DUMMYFUNCTION("""COMPUTED_VALUE"""),"ធួក សុធានីន")</f>
        <v>ធួក សុធានីន</v>
      </c>
      <c r="C15" s="7" t="str">
        <f>IFERROR(__xludf.DUMMYFUNCTION("""COMPUTED_VALUE"""),"Thuok Sotheanin ")</f>
        <v>Thuok Sotheanin </v>
      </c>
      <c r="D15" s="8" t="str">
        <f>IFERROR(__xludf.DUMMYFUNCTION("""COMPUTED_VALUE"""),"Female")</f>
        <v>Female</v>
      </c>
      <c r="E15" s="8" t="str">
        <f>IFERROR(__xludf.DUMMYFUNCTION("""COMPUTED_VALUE"""),"White")</f>
        <v>White</v>
      </c>
      <c r="F15" s="6">
        <f>IFERROR(__xludf.DUMMYFUNCTION("""COMPUTED_VALUE"""),2.0)</f>
        <v>2</v>
      </c>
      <c r="G15" s="8" t="str">
        <f>IFERROR(__xludf.DUMMYFUNCTION("""COMPUTED_VALUE"""),"NO")</f>
        <v>NO</v>
      </c>
      <c r="H15" s="9">
        <f>IFERROR(__xludf.DUMMYFUNCTION("""COMPUTED_VALUE"""),40028.0)</f>
        <v>40028</v>
      </c>
      <c r="I15" s="7" t="str">
        <f>IFERROR(__xludf.DUMMYFUNCTION("""COMPUTED_VALUE"""),"moshii12123@gmail.com")</f>
        <v>moshii12123@gmail.com</v>
      </c>
      <c r="J15" s="6" t="str">
        <f>IFERROR(__xludf.DUMMYFUNCTION("""COMPUTED_VALUE"""),"0966191202")</f>
        <v>0966191202</v>
      </c>
      <c r="K15" s="9">
        <f>IFERROR(__xludf.DUMMYFUNCTION("""COMPUTED_VALUE"""),45964.0)</f>
        <v>45964</v>
      </c>
      <c r="L15" s="10" t="s">
        <v>22</v>
      </c>
      <c r="M15" s="8"/>
    </row>
    <row r="16" ht="22.5" customHeight="1">
      <c r="A16" s="7" t="str">
        <f>IFERROR(__xludf.DUMMYFUNCTION("""COMPUTED_VALUE"""),"STU-F-015")</f>
        <v>STU-F-015</v>
      </c>
      <c r="B16" s="7" t="str">
        <f>IFERROR(__xludf.DUMMYFUNCTION("""COMPUTED_VALUE"""),"វ៉ាន់ដូរ ជេនិសា")</f>
        <v>វ៉ាន់ដូរ ជេនិសា</v>
      </c>
      <c r="C16" s="7" t="str">
        <f>IFERROR(__xludf.DUMMYFUNCTION("""COMPUTED_VALUE"""),"Vando Chenisa")</f>
        <v>Vando Chenisa</v>
      </c>
      <c r="D16" s="8" t="str">
        <f>IFERROR(__xludf.DUMMYFUNCTION("""COMPUTED_VALUE"""),"Female")</f>
        <v>Female</v>
      </c>
      <c r="E16" s="8" t="str">
        <f>IFERROR(__xludf.DUMMYFUNCTION("""COMPUTED_VALUE"""),"Green")</f>
        <v>Green</v>
      </c>
      <c r="F16" s="6">
        <f>IFERROR(__xludf.DUMMYFUNCTION("""COMPUTED_VALUE"""),1.0)</f>
        <v>1</v>
      </c>
      <c r="G16" s="8" t="str">
        <f>IFERROR(__xludf.DUMMYFUNCTION("""COMPUTED_VALUE"""),"NO")</f>
        <v>NO</v>
      </c>
      <c r="H16" s="9">
        <f>IFERROR(__xludf.DUMMYFUNCTION("""COMPUTED_VALUE"""),41307.0)</f>
        <v>41307</v>
      </c>
      <c r="I16" s="7" t="str">
        <f>IFERROR(__xludf.DUMMYFUNCTION("""COMPUTED_VALUE"""),"chenisavando@gmail.com")</f>
        <v>chenisavando@gmail.com</v>
      </c>
      <c r="J16" s="6" t="str">
        <f>IFERROR(__xludf.DUMMYFUNCTION("""COMPUTED_VALUE"""),"098808972")</f>
        <v>098808972</v>
      </c>
      <c r="K16" s="9">
        <f>IFERROR(__xludf.DUMMYFUNCTION("""COMPUTED_VALUE"""),45971.0)</f>
        <v>45971</v>
      </c>
      <c r="L16" s="10" t="s">
        <v>22</v>
      </c>
      <c r="M16" s="8"/>
      <c r="N16" s="11" t="s">
        <v>29</v>
      </c>
    </row>
    <row r="17" ht="22.5" customHeight="1">
      <c r="A17" s="7" t="str">
        <f>IFERROR(__xludf.DUMMYFUNCTION("""COMPUTED_VALUE"""),"STU-F-016")</f>
        <v>STU-F-016</v>
      </c>
      <c r="B17" s="7" t="str">
        <f>IFERROR(__xludf.DUMMYFUNCTION("""COMPUTED_VALUE"""),"វ៉ាន់ដូរ ជេនិតា")</f>
        <v>វ៉ាន់ដូរ ជេនិតា</v>
      </c>
      <c r="C17" s="7" t="str">
        <f>IFERROR(__xludf.DUMMYFUNCTION("""COMPUTED_VALUE"""),"Vando Chenita")</f>
        <v>Vando Chenita</v>
      </c>
      <c r="D17" s="8" t="str">
        <f>IFERROR(__xludf.DUMMYFUNCTION("""COMPUTED_VALUE"""),"Female")</f>
        <v>Female</v>
      </c>
      <c r="E17" s="8" t="str">
        <f>IFERROR(__xludf.DUMMYFUNCTION("""COMPUTED_VALUE"""),"Brown")</f>
        <v>Brown</v>
      </c>
      <c r="F17" s="6">
        <f>IFERROR(__xludf.DUMMYFUNCTION("""COMPUTED_VALUE"""),1.0)</f>
        <v>1</v>
      </c>
      <c r="G17" s="8" t="str">
        <f>IFERROR(__xludf.DUMMYFUNCTION("""COMPUTED_VALUE"""),"NO")</f>
        <v>NO</v>
      </c>
      <c r="H17" s="9">
        <f>IFERROR(__xludf.DUMMYFUNCTION("""COMPUTED_VALUE"""),40225.0)</f>
        <v>40225</v>
      </c>
      <c r="I17" s="7" t="str">
        <f>IFERROR(__xludf.DUMMYFUNCTION("""COMPUTED_VALUE"""),"b3cg1eee@gmail.com")</f>
        <v>b3cg1eee@gmail.com</v>
      </c>
      <c r="J17" s="6" t="str">
        <f>IFERROR(__xludf.DUMMYFUNCTION("""COMPUTED_VALUE"""),"099 224 257")</f>
        <v>099 224 257</v>
      </c>
      <c r="K17" s="9">
        <f>IFERROR(__xludf.DUMMYFUNCTION("""COMPUTED_VALUE"""),45971.0)</f>
        <v>45971</v>
      </c>
      <c r="L17" s="10" t="s">
        <v>22</v>
      </c>
      <c r="M17" s="8"/>
      <c r="N17" s="11" t="s">
        <v>30</v>
      </c>
    </row>
    <row r="18" ht="22.5" customHeight="1">
      <c r="A18" s="7" t="str">
        <f>IFERROR(__xludf.DUMMYFUNCTION("""COMPUTED_VALUE"""),"STU-F-017")</f>
        <v>STU-F-017</v>
      </c>
      <c r="B18" s="7" t="str">
        <f>IFERROR(__xludf.DUMMYFUNCTION("""COMPUTED_VALUE"""),"ប៉ែន សុធា")</f>
        <v>ប៉ែន សុធា</v>
      </c>
      <c r="C18" s="7" t="str">
        <f>IFERROR(__xludf.DUMMYFUNCTION("""COMPUTED_VALUE"""),"Pen Sothea")</f>
        <v>Pen Sothea</v>
      </c>
      <c r="D18" s="8" t="str">
        <f>IFERROR(__xludf.DUMMYFUNCTION("""COMPUTED_VALUE"""),"Female")</f>
        <v>Female</v>
      </c>
      <c r="E18" s="8" t="str">
        <f>IFERROR(__xludf.DUMMYFUNCTION("""COMPUTED_VALUE"""),"Red")</f>
        <v>Red</v>
      </c>
      <c r="F18" s="6">
        <f>IFERROR(__xludf.DUMMYFUNCTION("""COMPUTED_VALUE"""),1.0)</f>
        <v>1</v>
      </c>
      <c r="G18" s="8" t="str">
        <f>IFERROR(__xludf.DUMMYFUNCTION("""COMPUTED_VALUE"""),"NO")</f>
        <v>NO</v>
      </c>
      <c r="H18" s="9">
        <f>IFERROR(__xludf.DUMMYFUNCTION("""COMPUTED_VALUE"""),39610.0)</f>
        <v>39610</v>
      </c>
      <c r="I18" s="7" t="str">
        <f>IFERROR(__xludf.DUMMYFUNCTION("""COMPUTED_VALUE"""),"pensothea937@gmail.com")</f>
        <v>pensothea937@gmail.com</v>
      </c>
      <c r="J18" s="6" t="str">
        <f>IFERROR(__xludf.DUMMYFUNCTION("""COMPUTED_VALUE"""),"011-211-237")</f>
        <v>011-211-237</v>
      </c>
      <c r="K18" s="9">
        <f>IFERROR(__xludf.DUMMYFUNCTION("""COMPUTED_VALUE"""),45971.0)</f>
        <v>45971</v>
      </c>
      <c r="L18" s="10" t="s">
        <v>22</v>
      </c>
      <c r="M18" s="8"/>
      <c r="N18" s="11" t="s">
        <v>31</v>
      </c>
    </row>
    <row r="19" ht="22.5" customHeight="1">
      <c r="A19" s="7" t="str">
        <f>IFERROR(__xludf.DUMMYFUNCTION("""COMPUTED_VALUE"""),"STU-F-018")</f>
        <v>STU-F-018</v>
      </c>
      <c r="B19" s="7" t="str">
        <f>IFERROR(__xludf.DUMMYFUNCTION("""COMPUTED_VALUE"""),"នន់ សីហា")</f>
        <v>នន់ សីហា</v>
      </c>
      <c r="C19" s="7" t="str">
        <f>IFERROR(__xludf.DUMMYFUNCTION("""COMPUTED_VALUE"""),"Nun Seyha")</f>
        <v>Nun Seyha</v>
      </c>
      <c r="D19" s="8" t="str">
        <f>IFERROR(__xludf.DUMMYFUNCTION("""COMPUTED_VALUE"""),"Female")</f>
        <v>Female</v>
      </c>
      <c r="E19" s="8" t="str">
        <f>IFERROR(__xludf.DUMMYFUNCTION("""COMPUTED_VALUE"""),"White")</f>
        <v>White</v>
      </c>
      <c r="F19" s="6">
        <f>IFERROR(__xludf.DUMMYFUNCTION("""COMPUTED_VALUE"""),1.0)</f>
        <v>1</v>
      </c>
      <c r="G19" s="8" t="str">
        <f>IFERROR(__xludf.DUMMYFUNCTION("""COMPUTED_VALUE"""),"NO")</f>
        <v>NO</v>
      </c>
      <c r="H19" s="9">
        <f>IFERROR(__xludf.DUMMYFUNCTION("""COMPUTED_VALUE"""),37478.0)</f>
        <v>37478</v>
      </c>
      <c r="I19" s="7" t="str">
        <f>IFERROR(__xludf.DUMMYFUNCTION("""COMPUTED_VALUE"""),"nunseyha5@gmail.com")</f>
        <v>nunseyha5@gmail.com</v>
      </c>
      <c r="J19" s="6" t="str">
        <f>IFERROR(__xludf.DUMMYFUNCTION("""COMPUTED_VALUE"""),"015421982")</f>
        <v>015421982</v>
      </c>
      <c r="K19" s="9">
        <f>IFERROR(__xludf.DUMMYFUNCTION("""COMPUTED_VALUE"""),45972.0)</f>
        <v>45972</v>
      </c>
      <c r="L19" s="10" t="s">
        <v>22</v>
      </c>
      <c r="M19" s="8"/>
    </row>
    <row r="20" ht="22.5" customHeight="1">
      <c r="A20" s="7" t="str">
        <f>IFERROR(__xludf.DUMMYFUNCTION("""COMPUTED_VALUE"""),"STU-F-019")</f>
        <v>STU-F-019</v>
      </c>
      <c r="B20" s="7" t="str">
        <f>IFERROR(__xludf.DUMMYFUNCTION("""COMPUTED_VALUE"""),"ចៅ បូរ៉ែនណា")</f>
        <v>ចៅ បូរ៉ែនណា</v>
      </c>
      <c r="C20" s="7" t="str">
        <f>IFERROR(__xludf.DUMMYFUNCTION("""COMPUTED_VALUE"""),"Chau Boreinna ")</f>
        <v>Chau Boreinna </v>
      </c>
      <c r="D20" s="8" t="str">
        <f>IFERROR(__xludf.DUMMYFUNCTION("""COMPUTED_VALUE"""),"Female")</f>
        <v>Female</v>
      </c>
      <c r="E20" s="8" t="str">
        <f>IFERROR(__xludf.DUMMYFUNCTION("""COMPUTED_VALUE"""),"Blue")</f>
        <v>Blue</v>
      </c>
      <c r="F20" s="6">
        <f>IFERROR(__xludf.DUMMYFUNCTION("""COMPUTED_VALUE"""),1.0)</f>
        <v>1</v>
      </c>
      <c r="G20" s="8" t="str">
        <f>IFERROR(__xludf.DUMMYFUNCTION("""COMPUTED_VALUE"""),"NO")</f>
        <v>NO</v>
      </c>
      <c r="H20" s="9">
        <f>IFERROR(__xludf.DUMMYFUNCTION("""COMPUTED_VALUE"""),38851.0)</f>
        <v>38851</v>
      </c>
      <c r="I20" s="7" t="str">
        <f>IFERROR(__xludf.DUMMYFUNCTION("""COMPUTED_VALUE"""),"boreinnachau@gmail.com")</f>
        <v>boreinnachau@gmail.com</v>
      </c>
      <c r="J20" s="6" t="str">
        <f>IFERROR(__xludf.DUMMYFUNCTION("""COMPUTED_VALUE"""),"017804477")</f>
        <v>017804477</v>
      </c>
      <c r="K20" s="9">
        <f>IFERROR(__xludf.DUMMYFUNCTION("""COMPUTED_VALUE"""),45973.0)</f>
        <v>45973</v>
      </c>
      <c r="L20" s="10" t="s">
        <v>22</v>
      </c>
      <c r="M20" s="8"/>
      <c r="N20" s="11" t="s">
        <v>32</v>
      </c>
      <c r="O20" s="11" t="s">
        <v>33</v>
      </c>
      <c r="P20" s="11">
        <v>160.0</v>
      </c>
      <c r="Q20" s="11">
        <v>53.0</v>
      </c>
    </row>
    <row r="21" ht="22.5" customHeight="1">
      <c r="A21" s="7" t="str">
        <f>IFERROR(__xludf.DUMMYFUNCTION("""COMPUTED_VALUE"""),"STU-M-020")</f>
        <v>STU-M-020</v>
      </c>
      <c r="B21" s="7" t="str">
        <f>IFERROR(__xludf.DUMMYFUNCTION("""COMPUTED_VALUE"""),"សុភា រតនៈ")</f>
        <v>សុភា រតនៈ</v>
      </c>
      <c r="C21" s="7" t="str">
        <f>IFERROR(__xludf.DUMMYFUNCTION("""COMPUTED_VALUE"""),"Sophea Ratanak")</f>
        <v>Sophea Ratanak</v>
      </c>
      <c r="D21" s="8" t="str">
        <f>IFERROR(__xludf.DUMMYFUNCTION("""COMPUTED_VALUE"""),"Male")</f>
        <v>Male</v>
      </c>
      <c r="E21" s="8" t="str">
        <f>IFERROR(__xludf.DUMMYFUNCTION("""COMPUTED_VALUE"""),"Blue")</f>
        <v>Blue</v>
      </c>
      <c r="F21" s="6">
        <f>IFERROR(__xludf.DUMMYFUNCTION("""COMPUTED_VALUE"""),1.0)</f>
        <v>1</v>
      </c>
      <c r="G21" s="8" t="str">
        <f>IFERROR(__xludf.DUMMYFUNCTION("""COMPUTED_VALUE"""),"NO")</f>
        <v>NO</v>
      </c>
      <c r="H21" s="9">
        <f>IFERROR(__xludf.DUMMYFUNCTION("""COMPUTED_VALUE"""),39389.0)</f>
        <v>39389</v>
      </c>
      <c r="I21" s="7" t="str">
        <f>IFERROR(__xludf.DUMMYFUNCTION("""COMPUTED_VALUE"""),"sophearatanakk@gmail.com")</f>
        <v>sophearatanakk@gmail.com</v>
      </c>
      <c r="J21" s="6" t="str">
        <f>IFERROR(__xludf.DUMMYFUNCTION("""COMPUTED_VALUE"""),"016759209  (on telegram)")</f>
        <v>016759209  (on telegram)</v>
      </c>
      <c r="K21" s="9">
        <f>IFERROR(__xludf.DUMMYFUNCTION("""COMPUTED_VALUE"""),45973.0)</f>
        <v>45973</v>
      </c>
      <c r="L21" s="10" t="s">
        <v>22</v>
      </c>
      <c r="M21" s="8"/>
      <c r="N21" s="11" t="s">
        <v>34</v>
      </c>
      <c r="O21" s="11" t="s">
        <v>35</v>
      </c>
      <c r="P21" s="11">
        <v>177.0</v>
      </c>
      <c r="Q21" s="11">
        <v>65.0</v>
      </c>
    </row>
    <row r="22" ht="22.5" customHeight="1">
      <c r="A22" s="7" t="str">
        <f>IFERROR(__xludf.DUMMYFUNCTION("""COMPUTED_VALUE"""),"STU-M-021")</f>
        <v>STU-M-021</v>
      </c>
      <c r="B22" s="7" t="str">
        <f>IFERROR(__xludf.DUMMYFUNCTION("""COMPUTED_VALUE"""),"យ៉ែម សភា")</f>
        <v>យ៉ែម សភា</v>
      </c>
      <c r="C22" s="7" t="str">
        <f>IFERROR(__xludf.DUMMYFUNCTION("""COMPUTED_VALUE"""),"Yem Sakphea")</f>
        <v>Yem Sakphea</v>
      </c>
      <c r="D22" s="8" t="str">
        <f>IFERROR(__xludf.DUMMYFUNCTION("""COMPUTED_VALUE"""),"Male")</f>
        <v>Male</v>
      </c>
      <c r="E22" s="8" t="str">
        <f>IFERROR(__xludf.DUMMYFUNCTION("""COMPUTED_VALUE"""),"White")</f>
        <v>White</v>
      </c>
      <c r="F22" s="6">
        <f>IFERROR(__xludf.DUMMYFUNCTION("""COMPUTED_VALUE"""),1.0)</f>
        <v>1</v>
      </c>
      <c r="G22" s="8" t="str">
        <f>IFERROR(__xludf.DUMMYFUNCTION("""COMPUTED_VALUE"""),"NO")</f>
        <v>NO</v>
      </c>
      <c r="H22" s="9">
        <f>IFERROR(__xludf.DUMMYFUNCTION("""COMPUTED_VALUE"""),38273.0)</f>
        <v>38273</v>
      </c>
      <c r="I22" s="7" t="str">
        <f>IFERROR(__xludf.DUMMYFUNCTION("""COMPUTED_VALUE"""),"sakphea2000168@gmail.com")</f>
        <v>sakphea2000168@gmail.com</v>
      </c>
      <c r="J22" s="6" t="str">
        <f>IFERROR(__xludf.DUMMYFUNCTION("""COMPUTED_VALUE"""),"016718783")</f>
        <v>016718783</v>
      </c>
      <c r="K22" s="9">
        <f>IFERROR(__xludf.DUMMYFUNCTION("""COMPUTED_VALUE"""),45974.0)</f>
        <v>45974</v>
      </c>
      <c r="L22" s="10" t="s">
        <v>22</v>
      </c>
      <c r="M22" s="8"/>
    </row>
    <row r="23" ht="22.5" customHeight="1">
      <c r="A23" s="7" t="str">
        <f>IFERROR(__xludf.DUMMYFUNCTION("""COMPUTED_VALUE"""),"STU-M-022")</f>
        <v>STU-M-022</v>
      </c>
      <c r="B23" s="7" t="str">
        <f>IFERROR(__xludf.DUMMYFUNCTION("""COMPUTED_VALUE"""),"ឈៀង ហុងហេង")</f>
        <v>ឈៀង ហុងហេង</v>
      </c>
      <c r="C23" s="7" t="str">
        <f>IFERROR(__xludf.DUMMYFUNCTION("""COMPUTED_VALUE"""),"Chheang   Hongheng ")</f>
        <v>Chheang   Hongheng </v>
      </c>
      <c r="D23" s="8" t="str">
        <f>IFERROR(__xludf.DUMMYFUNCTION("""COMPUTED_VALUE"""),"Male")</f>
        <v>Male</v>
      </c>
      <c r="E23" s="8" t="str">
        <f>IFERROR(__xludf.DUMMYFUNCTION("""COMPUTED_VALUE"""),"Black 1 Poom/Dan")</f>
        <v>Black 1 Poom/Dan</v>
      </c>
      <c r="F23" s="6">
        <f>IFERROR(__xludf.DUMMYFUNCTION("""COMPUTED_VALUE"""),11.0)</f>
        <v>11</v>
      </c>
      <c r="G23" s="8" t="str">
        <f>IFERROR(__xludf.DUMMYFUNCTION("""COMPUTED_VALUE"""),"NO")</f>
        <v>NO</v>
      </c>
      <c r="H23" s="9">
        <f>IFERROR(__xludf.DUMMYFUNCTION("""COMPUTED_VALUE"""),37574.0)</f>
        <v>37574</v>
      </c>
      <c r="I23" s="7" t="str">
        <f>IFERROR(__xludf.DUMMYFUNCTION("""COMPUTED_VALUE"""),"chheanghongheng6@gmail.com")</f>
        <v>chheanghongheng6@gmail.com</v>
      </c>
      <c r="J23" s="6" t="str">
        <f>IFERROR(__xludf.DUMMYFUNCTION("""COMPUTED_VALUE"""),"070847172")</f>
        <v>070847172</v>
      </c>
      <c r="K23" s="9">
        <f>IFERROR(__xludf.DUMMYFUNCTION("""COMPUTED_VALUE"""),45975.0)</f>
        <v>45975</v>
      </c>
      <c r="L23" s="10" t="s">
        <v>22</v>
      </c>
      <c r="M23" s="8"/>
    </row>
    <row r="24" ht="22.5" customHeight="1">
      <c r="A24" s="7" t="str">
        <f>IFERROR(__xludf.DUMMYFUNCTION("""COMPUTED_VALUE"""),"STU-F-023")</f>
        <v>STU-F-023</v>
      </c>
      <c r="B24" s="7" t="str">
        <f>IFERROR(__xludf.DUMMYFUNCTION("""COMPUTED_VALUE"""),"ផាន់ អារ៉ាន់យ៉ា")</f>
        <v>ផាន់ អារ៉ាន់យ៉ា</v>
      </c>
      <c r="C24" s="7" t="str">
        <f>IFERROR(__xludf.DUMMYFUNCTION("""COMPUTED_VALUE"""),"Phan Aranya")</f>
        <v>Phan Aranya</v>
      </c>
      <c r="D24" s="8" t="str">
        <f>IFERROR(__xludf.DUMMYFUNCTION("""COMPUTED_VALUE"""),"Female")</f>
        <v>Female</v>
      </c>
      <c r="E24" s="8" t="str">
        <f>IFERROR(__xludf.DUMMYFUNCTION("""COMPUTED_VALUE"""),"White")</f>
        <v>White</v>
      </c>
      <c r="F24" s="6">
        <f>IFERROR(__xludf.DUMMYFUNCTION("""COMPUTED_VALUE"""),1.0)</f>
        <v>1</v>
      </c>
      <c r="G24" s="8" t="str">
        <f>IFERROR(__xludf.DUMMYFUNCTION("""COMPUTED_VALUE"""),"NO")</f>
        <v>NO</v>
      </c>
      <c r="H24" s="9">
        <f>IFERROR(__xludf.DUMMYFUNCTION("""COMPUTED_VALUE"""),38337.0)</f>
        <v>38337</v>
      </c>
      <c r="I24" s="7" t="str">
        <f>IFERROR(__xludf.DUMMYFUNCTION("""COMPUTED_VALUE"""),"pookieluvpeachie@gmail.com")</f>
        <v>pookieluvpeachie@gmail.com</v>
      </c>
      <c r="J24" s="6" t="str">
        <f>IFERROR(__xludf.DUMMYFUNCTION("""COMPUTED_VALUE"""),"012575859")</f>
        <v>012575859</v>
      </c>
      <c r="K24" s="9">
        <f>IFERROR(__xludf.DUMMYFUNCTION("""COMPUTED_VALUE"""),45975.0)</f>
        <v>45975</v>
      </c>
      <c r="L24" s="10" t="s">
        <v>22</v>
      </c>
      <c r="M24" s="8"/>
    </row>
    <row r="25" ht="22.5" customHeight="1">
      <c r="A25" s="7" t="str">
        <f>IFERROR(__xludf.DUMMYFUNCTION("""COMPUTED_VALUE"""),"STU-F-024")</f>
        <v>STU-F-024</v>
      </c>
      <c r="B25" s="7" t="str">
        <f>IFERROR(__xludf.DUMMYFUNCTION("""COMPUTED_VALUE"""),"លី សុខវឌ្ឍិកា")</f>
        <v>លី សុខវឌ្ឍិកា</v>
      </c>
      <c r="C25" s="7" t="str">
        <f>IFERROR(__xludf.DUMMYFUNCTION("""COMPUTED_VALUE"""),"Ly Sokvadhdika")</f>
        <v>Ly Sokvadhdika</v>
      </c>
      <c r="D25" s="8" t="str">
        <f>IFERROR(__xludf.DUMMYFUNCTION("""COMPUTED_VALUE"""),"Female")</f>
        <v>Female</v>
      </c>
      <c r="E25" s="8" t="str">
        <f>IFERROR(__xludf.DUMMYFUNCTION("""COMPUTED_VALUE"""),"Blue")</f>
        <v>Blue</v>
      </c>
      <c r="F25" s="6">
        <f>IFERROR(__xludf.DUMMYFUNCTION("""COMPUTED_VALUE"""),1.0)</f>
        <v>1</v>
      </c>
      <c r="G25" s="8" t="str">
        <f>IFERROR(__xludf.DUMMYFUNCTION("""COMPUTED_VALUE"""),"NO")</f>
        <v>NO</v>
      </c>
      <c r="H25" s="9">
        <f>IFERROR(__xludf.DUMMYFUNCTION("""COMPUTED_VALUE"""),40336.0)</f>
        <v>40336</v>
      </c>
      <c r="I25" s="7" t="str">
        <f>IFERROR(__xludf.DUMMYFUNCTION("""COMPUTED_VALUE"""),"lysokvadhdika@gmail.com")</f>
        <v>lysokvadhdika@gmail.com</v>
      </c>
      <c r="J25" s="6" t="str">
        <f>IFERROR(__xludf.DUMMYFUNCTION("""COMPUTED_VALUE"""),"089 996 623")</f>
        <v>089 996 623</v>
      </c>
      <c r="K25" s="9">
        <f>IFERROR(__xludf.DUMMYFUNCTION("""COMPUTED_VALUE"""),45983.0)</f>
        <v>45983</v>
      </c>
      <c r="L25" s="10" t="s">
        <v>22</v>
      </c>
      <c r="M25" s="8"/>
    </row>
    <row r="26" ht="22.5" customHeight="1">
      <c r="A26" s="7" t="str">
        <f>IFERROR(__xludf.DUMMYFUNCTION("""COMPUTED_VALUE"""),"STU-F-025")</f>
        <v>STU-F-025</v>
      </c>
      <c r="B26" s="7" t="str">
        <f>IFERROR(__xludf.DUMMYFUNCTION("""COMPUTED_VALUE"""),"ហួត  ជីងហួយ")</f>
        <v>ហួត  ជីងហួយ</v>
      </c>
      <c r="C26" s="7" t="str">
        <f>IFERROR(__xludf.DUMMYFUNCTION("""COMPUTED_VALUE"""),"Hout Jinghouy")</f>
        <v>Hout Jinghouy</v>
      </c>
      <c r="D26" s="8" t="str">
        <f>IFERROR(__xludf.DUMMYFUNCTION("""COMPUTED_VALUE"""),"Female")</f>
        <v>Female</v>
      </c>
      <c r="E26" s="8" t="str">
        <f>IFERROR(__xludf.DUMMYFUNCTION("""COMPUTED_VALUE"""),"White")</f>
        <v>White</v>
      </c>
      <c r="F26" s="6">
        <f>IFERROR(__xludf.DUMMYFUNCTION("""COMPUTED_VALUE"""),1.0)</f>
        <v>1</v>
      </c>
      <c r="G26" s="8" t="str">
        <f>IFERROR(__xludf.DUMMYFUNCTION("""COMPUTED_VALUE"""),"NO")</f>
        <v>NO</v>
      </c>
      <c r="H26" s="9">
        <f>IFERROR(__xludf.DUMMYFUNCTION("""COMPUTED_VALUE"""),38968.0)</f>
        <v>38968</v>
      </c>
      <c r="I26" s="7" t="str">
        <f>IFERROR(__xludf.DUMMYFUNCTION("""COMPUTED_VALUE"""),"gweenja@gmail.com")</f>
        <v>gweenja@gmail.com</v>
      </c>
      <c r="J26" s="6" t="str">
        <f>IFERROR(__xludf.DUMMYFUNCTION("""COMPUTED_VALUE"""),"085 835 924")</f>
        <v>085 835 924</v>
      </c>
      <c r="K26" s="9">
        <f>IFERROR(__xludf.DUMMYFUNCTION("""COMPUTED_VALUE"""),45994.0)</f>
        <v>45994</v>
      </c>
      <c r="L26" s="10" t="s">
        <v>22</v>
      </c>
      <c r="M26" s="8"/>
      <c r="P26" s="11">
        <v>158.0</v>
      </c>
      <c r="Q26" s="11">
        <v>38.0</v>
      </c>
    </row>
    <row r="27" ht="22.5" customHeight="1">
      <c r="A27" s="7" t="str">
        <f>IFERROR(__xludf.DUMMYFUNCTION("""COMPUTED_VALUE"""),"STU-M-026")</f>
        <v>STU-M-026</v>
      </c>
      <c r="B27" s="7" t="str">
        <f>IFERROR(__xludf.DUMMYFUNCTION("""COMPUTED_VALUE"""),"ទិត ប៊ុនណាត")</f>
        <v>ទិត ប៊ុនណាត</v>
      </c>
      <c r="C27" s="7" t="str">
        <f>IFERROR(__xludf.DUMMYFUNCTION("""COMPUTED_VALUE"""),"Tith Bunnath")</f>
        <v>Tith Bunnath</v>
      </c>
      <c r="D27" s="8" t="str">
        <f>IFERROR(__xludf.DUMMYFUNCTION("""COMPUTED_VALUE"""),"Male")</f>
        <v>Male</v>
      </c>
      <c r="E27" s="8" t="str">
        <f>IFERROR(__xludf.DUMMYFUNCTION("""COMPUTED_VALUE"""),"Red")</f>
        <v>Red</v>
      </c>
      <c r="F27" s="6">
        <f>IFERROR(__xludf.DUMMYFUNCTION("""COMPUTED_VALUE"""),1.0)</f>
        <v>1</v>
      </c>
      <c r="G27" s="8" t="str">
        <f>IFERROR(__xludf.DUMMYFUNCTION("""COMPUTED_VALUE"""),"NO")</f>
        <v>NO</v>
      </c>
      <c r="H27" s="9">
        <f>IFERROR(__xludf.DUMMYFUNCTION("""COMPUTED_VALUE"""),38565.0)</f>
        <v>38565</v>
      </c>
      <c r="I27" s="7" t="str">
        <f>IFERROR(__xludf.DUMMYFUNCTION("""COMPUTED_VALUE"""),"chaosbunnath@gmail.com")</f>
        <v>chaosbunnath@gmail.com</v>
      </c>
      <c r="J27" s="6" t="str">
        <f>IFERROR(__xludf.DUMMYFUNCTION("""COMPUTED_VALUE"""),"078566058")</f>
        <v>078566058</v>
      </c>
      <c r="K27" s="9">
        <f>IFERROR(__xludf.DUMMYFUNCTION("""COMPUTED_VALUE"""),46002.0)</f>
        <v>46002</v>
      </c>
      <c r="L27" s="10" t="s">
        <v>22</v>
      </c>
      <c r="M27" s="8"/>
    </row>
    <row r="28" ht="22.5" customHeight="1">
      <c r="A28" s="7" t="str">
        <f>IFERROR(__xludf.DUMMYFUNCTION("""COMPUTED_VALUE"""),"STU-M-027")</f>
        <v>STU-M-027</v>
      </c>
      <c r="B28" s="7" t="str">
        <f>IFERROR(__xludf.DUMMYFUNCTION("""COMPUTED_VALUE"""),"មាឃ ណាហ្វេន ")</f>
        <v>មាឃ ណាហ្វេន </v>
      </c>
      <c r="C28" s="7" t="str">
        <f>IFERROR(__xludf.DUMMYFUNCTION("""COMPUTED_VALUE"""),"Nafan Meak")</f>
        <v>Nafan Meak</v>
      </c>
      <c r="D28" s="8" t="str">
        <f>IFERROR(__xludf.DUMMYFUNCTION("""COMPUTED_VALUE"""),"Male")</f>
        <v>Male</v>
      </c>
      <c r="E28" s="8" t="str">
        <f>IFERROR(__xludf.DUMMYFUNCTION("""COMPUTED_VALUE"""),"White")</f>
        <v>White</v>
      </c>
      <c r="F28" s="6">
        <f>IFERROR(__xludf.DUMMYFUNCTION("""COMPUTED_VALUE"""),1.0)</f>
        <v>1</v>
      </c>
      <c r="G28" s="8" t="str">
        <f>IFERROR(__xludf.DUMMYFUNCTION("""COMPUTED_VALUE"""),"NO")</f>
        <v>NO</v>
      </c>
      <c r="H28" s="9">
        <f>IFERROR(__xludf.DUMMYFUNCTION("""COMPUTED_VALUE"""),39754.0)</f>
        <v>39754</v>
      </c>
      <c r="I28" s="7" t="str">
        <f>IFERROR(__xludf.DUMMYFUNCTION("""COMPUTED_VALUE"""),"meaknafan@gmail.com")</f>
        <v>meaknafan@gmail.com</v>
      </c>
      <c r="J28" s="6" t="str">
        <f>IFERROR(__xludf.DUMMYFUNCTION("""COMPUTED_VALUE"""),"0969622980")</f>
        <v>0969622980</v>
      </c>
      <c r="K28" s="9">
        <f>IFERROR(__xludf.DUMMYFUNCTION("""COMPUTED_VALUE"""),46004.0)</f>
        <v>46004</v>
      </c>
      <c r="L28" s="10" t="s">
        <v>22</v>
      </c>
      <c r="M28" s="8"/>
    </row>
    <row r="29" ht="22.5" customHeight="1">
      <c r="A29" s="7" t="str">
        <f>IFERROR(__xludf.DUMMYFUNCTION("""COMPUTED_VALUE"""),"STU-F-028")</f>
        <v>STU-F-028</v>
      </c>
      <c r="B29" s="7" t="str">
        <f>IFERROR(__xludf.DUMMYFUNCTION("""COMPUTED_VALUE"""),"មុឺន កញ្ញា")</f>
        <v>មុឺន កញ្ញា</v>
      </c>
      <c r="C29" s="7" t="str">
        <f>IFERROR(__xludf.DUMMYFUNCTION("""COMPUTED_VALUE"""),"Moeun  Kanha ")</f>
        <v>Moeun  Kanha </v>
      </c>
      <c r="D29" s="8" t="str">
        <f>IFERROR(__xludf.DUMMYFUNCTION("""COMPUTED_VALUE"""),"Female")</f>
        <v>Female</v>
      </c>
      <c r="E29" s="8" t="str">
        <f>IFERROR(__xludf.DUMMYFUNCTION("""COMPUTED_VALUE"""),"White")</f>
        <v>White</v>
      </c>
      <c r="F29" s="6">
        <f>IFERROR(__xludf.DUMMYFUNCTION("""COMPUTED_VALUE"""),0.0)</f>
        <v>0</v>
      </c>
      <c r="G29" s="8" t="str">
        <f>IFERROR(__xludf.DUMMYFUNCTION("""COMPUTED_VALUE"""),"NO")</f>
        <v>NO</v>
      </c>
      <c r="H29" s="9">
        <f>IFERROR(__xludf.DUMMYFUNCTION("""COMPUTED_VALUE"""),39708.0)</f>
        <v>39708</v>
      </c>
      <c r="I29" s="7" t="str">
        <f>IFERROR(__xludf.DUMMYFUNCTION("""COMPUTED_VALUE"""),"m.kanhaaa@gmail.com")</f>
        <v>m.kanhaaa@gmail.com</v>
      </c>
      <c r="J29" s="6" t="str">
        <f>IFERROR(__xludf.DUMMYFUNCTION("""COMPUTED_VALUE"""),"0962320295")</f>
        <v>0962320295</v>
      </c>
      <c r="K29" s="9">
        <f>IFERROR(__xludf.DUMMYFUNCTION("""COMPUTED_VALUE"""),46013.0)</f>
        <v>46013</v>
      </c>
      <c r="L29" s="10" t="s">
        <v>22</v>
      </c>
      <c r="M29" s="8"/>
      <c r="P29" s="11">
        <v>168.0</v>
      </c>
      <c r="Q29" s="11">
        <v>57.0</v>
      </c>
    </row>
    <row r="30" ht="22.5" customHeight="1">
      <c r="A30" s="7" t="str">
        <f>IFERROR(__xludf.DUMMYFUNCTION("""COMPUTED_VALUE"""),"STU-F-029")</f>
        <v>STU-F-029</v>
      </c>
      <c r="B30" s="7" t="str">
        <f>IFERROR(__xludf.DUMMYFUNCTION("""COMPUTED_VALUE"""),"ផេង ស្រីទ្រព្យ")</f>
        <v>ផេង ស្រីទ្រព្យ</v>
      </c>
      <c r="C30" s="7" t="str">
        <f>IFERROR(__xludf.DUMMYFUNCTION("""COMPUTED_VALUE"""),"Sreytroap Pheng")</f>
        <v>Sreytroap Pheng</v>
      </c>
      <c r="D30" s="8" t="str">
        <f>IFERROR(__xludf.DUMMYFUNCTION("""COMPUTED_VALUE"""),"Female")</f>
        <v>Female</v>
      </c>
      <c r="E30" s="8" t="str">
        <f>IFERROR(__xludf.DUMMYFUNCTION("""COMPUTED_VALUE"""),"White")</f>
        <v>White</v>
      </c>
      <c r="F30" s="6">
        <f>IFERROR(__xludf.DUMMYFUNCTION("""COMPUTED_VALUE"""),0.0)</f>
        <v>0</v>
      </c>
      <c r="G30" s="8" t="str">
        <f>IFERROR(__xludf.DUMMYFUNCTION("""COMPUTED_VALUE"""),"NO")</f>
        <v>NO</v>
      </c>
      <c r="H30" s="9">
        <f>IFERROR(__xludf.DUMMYFUNCTION("""COMPUTED_VALUE"""),40614.0)</f>
        <v>40614</v>
      </c>
      <c r="I30" s="7" t="str">
        <f>IFERROR(__xludf.DUMMYFUNCTION("""COMPUTED_VALUE"""),"reaksmie2@gmail.com")</f>
        <v>reaksmie2@gmail.com</v>
      </c>
      <c r="J30" s="6" t="str">
        <f>IFERROR(__xludf.DUMMYFUNCTION("""COMPUTED_VALUE"""),"78251672")</f>
        <v>78251672</v>
      </c>
      <c r="K30" s="9">
        <f>IFERROR(__xludf.DUMMYFUNCTION("""COMPUTED_VALUE"""),46014.0)</f>
        <v>46014</v>
      </c>
      <c r="L30" s="10" t="s">
        <v>22</v>
      </c>
      <c r="M30" s="8"/>
      <c r="P30" s="11">
        <v>158.0</v>
      </c>
      <c r="Q30" s="11">
        <v>50.0</v>
      </c>
    </row>
    <row r="31" ht="22.5" customHeight="1">
      <c r="A31" s="7" t="str">
        <f>IFERROR(__xludf.DUMMYFUNCTION("""COMPUTED_VALUE"""),"STU-F-030")</f>
        <v>STU-F-030</v>
      </c>
      <c r="B31" s="7" t="str">
        <f>IFERROR(__xludf.DUMMYFUNCTION("""COMPUTED_VALUE"""),"ដារ៉េត កេសរបុប្ផាណា")</f>
        <v>ដារ៉េត កេសរបុប្ផាណា</v>
      </c>
      <c r="C31" s="7" t="str">
        <f>IFERROR(__xludf.DUMMYFUNCTION("""COMPUTED_VALUE"""),"Dareth  Kesorbophana ")</f>
        <v>Dareth  Kesorbophana </v>
      </c>
      <c r="D31" s="8" t="str">
        <f>IFERROR(__xludf.DUMMYFUNCTION("""COMPUTED_VALUE"""),"Female")</f>
        <v>Female</v>
      </c>
      <c r="E31" s="8" t="str">
        <f>IFERROR(__xludf.DUMMYFUNCTION("""COMPUTED_VALUE"""),"White")</f>
        <v>White</v>
      </c>
      <c r="F31" s="6">
        <f>IFERROR(__xludf.DUMMYFUNCTION("""COMPUTED_VALUE"""),0.0)</f>
        <v>0</v>
      </c>
      <c r="G31" s="8" t="str">
        <f>IFERROR(__xludf.DUMMYFUNCTION("""COMPUTED_VALUE"""),"NO")</f>
        <v>NO</v>
      </c>
      <c r="H31" s="9">
        <f>IFERROR(__xludf.DUMMYFUNCTION("""COMPUTED_VALUE"""),39641.0)</f>
        <v>39641</v>
      </c>
      <c r="I31" s="7" t="str">
        <f>IFERROR(__xludf.DUMMYFUNCTION("""COMPUTED_VALUE"""),"bophana2474@gmail.com")</f>
        <v>bophana2474@gmail.com</v>
      </c>
      <c r="J31" s="6" t="str">
        <f>IFERROR(__xludf.DUMMYFUNCTION("""COMPUTED_VALUE"""),"12247463")</f>
        <v>12247463</v>
      </c>
      <c r="K31" s="9">
        <f>IFERROR(__xludf.DUMMYFUNCTION("""COMPUTED_VALUE"""),46017.0)</f>
        <v>46017</v>
      </c>
      <c r="L31" s="8"/>
      <c r="M31" s="8"/>
      <c r="P31" s="11">
        <v>157.0</v>
      </c>
      <c r="Q31" s="11">
        <v>45.0</v>
      </c>
    </row>
    <row r="32" ht="22.5" customHeight="1">
      <c r="A32" s="7" t="str">
        <f>IFERROR(__xludf.DUMMYFUNCTION("""COMPUTED_VALUE"""),"STU-M-031")</f>
        <v>STU-M-031</v>
      </c>
      <c r="B32" s="7" t="str">
        <f>IFERROR(__xludf.DUMMYFUNCTION("""COMPUTED_VALUE"""),"សួស សុខនរៈ")</f>
        <v>សួស សុខនរៈ</v>
      </c>
      <c r="C32" s="7" t="str">
        <f>IFERROR(__xludf.DUMMYFUNCTION("""COMPUTED_VALUE"""),"Sous Soknorak")</f>
        <v>Sous Soknorak</v>
      </c>
      <c r="D32" s="8" t="str">
        <f>IFERROR(__xludf.DUMMYFUNCTION("""COMPUTED_VALUE"""),"Male")</f>
        <v>Male</v>
      </c>
      <c r="E32" s="8" t="str">
        <f>IFERROR(__xludf.DUMMYFUNCTION("""COMPUTED_VALUE"""),"Yellow")</f>
        <v>Yellow</v>
      </c>
      <c r="F32" s="6">
        <f>IFERROR(__xludf.DUMMYFUNCTION("""COMPUTED_VALUE"""),1.0)</f>
        <v>1</v>
      </c>
      <c r="G32" s="8" t="str">
        <f>IFERROR(__xludf.DUMMYFUNCTION("""COMPUTED_VALUE"""),"NO")</f>
        <v>NO</v>
      </c>
      <c r="H32" s="9">
        <f>IFERROR(__xludf.DUMMYFUNCTION("""COMPUTED_VALUE"""),42227.0)</f>
        <v>42227</v>
      </c>
      <c r="I32" s="7" t="str">
        <f>IFERROR(__xludf.DUMMYFUNCTION("""COMPUTED_VALUE"""),"thearyuy@gmail.com")</f>
        <v>thearyuy@gmail.com</v>
      </c>
      <c r="J32" s="6" t="str">
        <f>IFERROR(__xludf.DUMMYFUNCTION("""COMPUTED_VALUE"""),"89709999")</f>
        <v>89709999</v>
      </c>
      <c r="K32" s="9">
        <f>IFERROR(__xludf.DUMMYFUNCTION("""COMPUTED_VALUE"""),46020.0)</f>
        <v>46020</v>
      </c>
      <c r="L32" s="8"/>
      <c r="M32" s="8"/>
    </row>
    <row r="33" ht="22.5" customHeight="1">
      <c r="A33" s="7" t="str">
        <f>IFERROR(__xludf.DUMMYFUNCTION("""COMPUTED_VALUE"""),"STU-M-032")</f>
        <v>STU-M-032</v>
      </c>
      <c r="B33" s="7" t="str">
        <f>IFERROR(__xludf.DUMMYFUNCTION("""COMPUTED_VALUE"""),"សួស សុខរតនៈ")</f>
        <v>សួស សុខរតនៈ</v>
      </c>
      <c r="C33" s="7" t="str">
        <f>IFERROR(__xludf.DUMMYFUNCTION("""COMPUTED_VALUE"""),"Sous Sokrattanak ")</f>
        <v>Sous Sokrattanak </v>
      </c>
      <c r="D33" s="8" t="str">
        <f>IFERROR(__xludf.DUMMYFUNCTION("""COMPUTED_VALUE"""),"Male")</f>
        <v>Male</v>
      </c>
      <c r="E33" s="8" t="str">
        <f>IFERROR(__xludf.DUMMYFUNCTION("""COMPUTED_VALUE"""),"Yellow")</f>
        <v>Yellow</v>
      </c>
      <c r="F33" s="6">
        <f>IFERROR(__xludf.DUMMYFUNCTION("""COMPUTED_VALUE"""),1.0)</f>
        <v>1</v>
      </c>
      <c r="G33" s="8" t="str">
        <f>IFERROR(__xludf.DUMMYFUNCTION("""COMPUTED_VALUE"""),"NO")</f>
        <v>NO</v>
      </c>
      <c r="H33" s="9">
        <f>IFERROR(__xludf.DUMMYFUNCTION("""COMPUTED_VALUE"""),42760.0)</f>
        <v>42760</v>
      </c>
      <c r="I33" s="7" t="str">
        <f>IFERROR(__xludf.DUMMYFUNCTION("""COMPUTED_VALUE"""),"thearyuy@gmail.com")</f>
        <v>thearyuy@gmail.com</v>
      </c>
      <c r="J33" s="6" t="str">
        <f>IFERROR(__xludf.DUMMYFUNCTION("""COMPUTED_VALUE"""),"89709999")</f>
        <v>89709999</v>
      </c>
      <c r="K33" s="9">
        <f>IFERROR(__xludf.DUMMYFUNCTION("""COMPUTED_VALUE"""),46020.0)</f>
        <v>46020</v>
      </c>
      <c r="L33" s="8"/>
      <c r="M33" s="8"/>
    </row>
    <row r="34" ht="22.5" customHeight="1">
      <c r="A34" s="7" t="str">
        <f>IFERROR(__xludf.DUMMYFUNCTION("""COMPUTED_VALUE"""),"STU-F-033")</f>
        <v>STU-F-033</v>
      </c>
      <c r="B34" s="7" t="str">
        <f>IFERROR(__xludf.DUMMYFUNCTION("""COMPUTED_VALUE"""),"ឡេង សុណីតា")</f>
        <v>ឡេង សុណីតា</v>
      </c>
      <c r="C34" s="7" t="str">
        <f>IFERROR(__xludf.DUMMYFUNCTION("""COMPUTED_VALUE"""),"Leng Soneyta")</f>
        <v>Leng Soneyta</v>
      </c>
      <c r="D34" s="8" t="str">
        <f>IFERROR(__xludf.DUMMYFUNCTION("""COMPUTED_VALUE"""),"Female")</f>
        <v>Female</v>
      </c>
      <c r="E34" s="8" t="str">
        <f>IFERROR(__xludf.DUMMYFUNCTION("""COMPUTED_VALUE"""),"White")</f>
        <v>White</v>
      </c>
      <c r="F34" s="6">
        <f>IFERROR(__xludf.DUMMYFUNCTION("""COMPUTED_VALUE"""),0.0)</f>
        <v>0</v>
      </c>
      <c r="G34" s="8" t="str">
        <f>IFERROR(__xludf.DUMMYFUNCTION("""COMPUTED_VALUE"""),"NO")</f>
        <v>NO</v>
      </c>
      <c r="H34" s="9">
        <f>IFERROR(__xludf.DUMMYFUNCTION("""COMPUTED_VALUE"""),37714.0)</f>
        <v>37714</v>
      </c>
      <c r="I34" s="7" t="str">
        <f>IFERROR(__xludf.DUMMYFUNCTION("""COMPUTED_VALUE"""),"soneytaleng@gmail.com")</f>
        <v>soneytaleng@gmail.com</v>
      </c>
      <c r="J34" s="6" t="str">
        <f>IFERROR(__xludf.DUMMYFUNCTION("""COMPUTED_VALUE"""),"882077598")</f>
        <v>882077598</v>
      </c>
      <c r="K34" s="9">
        <f>IFERROR(__xludf.DUMMYFUNCTION("""COMPUTED_VALUE"""),46022.0)</f>
        <v>46022</v>
      </c>
      <c r="L34" s="8"/>
      <c r="M34" s="8"/>
    </row>
    <row r="35" ht="22.5" customHeight="1">
      <c r="A35" s="7" t="str">
        <f>IFERROR(__xludf.DUMMYFUNCTION("""COMPUTED_VALUE"""),"STU-F-034")</f>
        <v>STU-F-034</v>
      </c>
      <c r="B35" s="7" t="str">
        <f>IFERROR(__xludf.DUMMYFUNCTION("""COMPUTED_VALUE"""),"មាស ដា ណេ")</f>
        <v>មាស ដា ណេ</v>
      </c>
      <c r="C35" s="7" t="str">
        <f>IFERROR(__xludf.DUMMYFUNCTION("""COMPUTED_VALUE"""),"Dane Meas")</f>
        <v>Dane Meas</v>
      </c>
      <c r="D35" s="8" t="str">
        <f>IFERROR(__xludf.DUMMYFUNCTION("""COMPUTED_VALUE"""),"Female")</f>
        <v>Female</v>
      </c>
      <c r="E35" s="8" t="str">
        <f>IFERROR(__xludf.DUMMYFUNCTION("""COMPUTED_VALUE"""),"White")</f>
        <v>White</v>
      </c>
      <c r="F35" s="6"/>
      <c r="G35" s="8" t="str">
        <f>IFERROR(__xludf.DUMMYFUNCTION("""COMPUTED_VALUE"""),"#NUM!")</f>
        <v>#NUM!</v>
      </c>
      <c r="H35" s="9">
        <f>IFERROR(__xludf.DUMMYFUNCTION("""COMPUTED_VALUE"""),38630.0)</f>
        <v>38630</v>
      </c>
      <c r="I35" s="7" t="str">
        <f>IFERROR(__xludf.DUMMYFUNCTION("""COMPUTED_VALUE"""),"msd800162@gmail.com")</f>
        <v>msd800162@gmail.com</v>
      </c>
      <c r="J35" s="6" t="str">
        <f>IFERROR(__xludf.DUMMYFUNCTION("""COMPUTED_VALUE"""),"965880725")</f>
        <v>965880725</v>
      </c>
      <c r="K35" s="9">
        <f>IFERROR(__xludf.DUMMYFUNCTION("""COMPUTED_VALUE"""),46024.0)</f>
        <v>46024</v>
      </c>
      <c r="L35" s="8"/>
      <c r="M35" s="8"/>
      <c r="P35" s="11">
        <v>161.0</v>
      </c>
      <c r="Q35" s="11">
        <v>41.0</v>
      </c>
    </row>
    <row r="36" ht="22.5" customHeight="1">
      <c r="A36" s="7" t="str">
        <f>IFERROR(__xludf.DUMMYFUNCTION("""COMPUTED_VALUE"""),"STU-M-035")</f>
        <v>STU-M-035</v>
      </c>
      <c r="B36" s="7" t="str">
        <f>IFERROR(__xludf.DUMMYFUNCTION("""COMPUTED_VALUE"""),"លី ប៊ុនស័ក្ក")</f>
        <v>លី ប៊ុនស័ក្ក</v>
      </c>
      <c r="C36" s="7" t="str">
        <f>IFERROR(__xludf.DUMMYFUNCTION("""COMPUTED_VALUE"""),"Ly Bunsak")</f>
        <v>Ly Bunsak</v>
      </c>
      <c r="D36" s="8" t="str">
        <f>IFERROR(__xludf.DUMMYFUNCTION("""COMPUTED_VALUE"""),"Male")</f>
        <v>Male</v>
      </c>
      <c r="E36" s="8" t="str">
        <f>IFERROR(__xludf.DUMMYFUNCTION("""COMPUTED_VALUE"""),"Red")</f>
        <v>Red</v>
      </c>
      <c r="F36" s="6"/>
      <c r="G36" s="8" t="str">
        <f>IFERROR(__xludf.DUMMYFUNCTION("""COMPUTED_VALUE"""),"#NUM!")</f>
        <v>#NUM!</v>
      </c>
      <c r="H36" s="9">
        <f>IFERROR(__xludf.DUMMYFUNCTION("""COMPUTED_VALUE"""),41097.0)</f>
        <v>41097</v>
      </c>
      <c r="I36" s="7" t="str">
        <f>IFERROR(__xludf.DUMMYFUNCTION("""COMPUTED_VALUE"""),"keomdaroth@gmail.com")</f>
        <v>keomdaroth@gmail.com</v>
      </c>
      <c r="J36" s="6" t="str">
        <f>IFERROR(__xludf.DUMMYFUNCTION("""COMPUTED_VALUE"""),"85511567")</f>
        <v>85511567</v>
      </c>
      <c r="K36" s="9">
        <f>IFERROR(__xludf.DUMMYFUNCTION("""COMPUTED_VALUE"""),46028.0)</f>
        <v>46028</v>
      </c>
      <c r="L36" s="8"/>
      <c r="M36" s="8"/>
      <c r="P36" s="11">
        <v>170.0</v>
      </c>
      <c r="Q36" s="11">
        <v>52.0</v>
      </c>
    </row>
    <row r="37" ht="22.5" customHeight="1">
      <c r="A37" s="7" t="str">
        <f>IFERROR(__xludf.DUMMYFUNCTION("""COMPUTED_VALUE"""),"STU-M-036")</f>
        <v>STU-M-036</v>
      </c>
      <c r="B37" s="7" t="str">
        <f>IFERROR(__xludf.DUMMYFUNCTION("""COMPUTED_VALUE"""),"ប៉ែន បញ្ញាសុវណ្ណ")</f>
        <v>ប៉ែន បញ្ញាសុវណ្ណ</v>
      </c>
      <c r="C37" s="7" t="str">
        <f>IFERROR(__xludf.DUMMYFUNCTION("""COMPUTED_VALUE"""),"Pen Panha Sovan ")</f>
        <v>Pen Panha Sovan </v>
      </c>
      <c r="D37" s="8" t="str">
        <f>IFERROR(__xludf.DUMMYFUNCTION("""COMPUTED_VALUE"""),"Male")</f>
        <v>Male</v>
      </c>
      <c r="E37" s="8" t="str">
        <f>IFERROR(__xludf.DUMMYFUNCTION("""COMPUTED_VALUE"""),"Brown")</f>
        <v>Brown</v>
      </c>
      <c r="F37" s="6"/>
      <c r="G37" s="8" t="str">
        <f>IFERROR(__xludf.DUMMYFUNCTION("""COMPUTED_VALUE"""),"#NUM!")</f>
        <v>#NUM!</v>
      </c>
      <c r="H37" s="9">
        <f>IFERROR(__xludf.DUMMYFUNCTION("""COMPUTED_VALUE"""),40309.0)</f>
        <v>40309</v>
      </c>
      <c r="I37" s="7" t="str">
        <f>IFERROR(__xludf.DUMMYFUNCTION("""COMPUTED_VALUE"""),"Sovanpanha533@gmail.com")</f>
        <v>Sovanpanha533@gmail.com</v>
      </c>
      <c r="J37" s="6" t="str">
        <f>IFERROR(__xludf.DUMMYFUNCTION("""COMPUTED_VALUE"""),"11266571")</f>
        <v>11266571</v>
      </c>
      <c r="K37" s="9">
        <f>IFERROR(__xludf.DUMMYFUNCTION("""COMPUTED_VALUE"""),46028.0)</f>
        <v>46028</v>
      </c>
      <c r="L37" s="8"/>
      <c r="M37" s="8"/>
    </row>
    <row r="38" ht="22.5" customHeight="1">
      <c r="A38" s="7" t="str">
        <f>IFERROR(__xludf.DUMMYFUNCTION("""COMPUTED_VALUE"""),"STU-F-037")</f>
        <v>STU-F-037</v>
      </c>
      <c r="B38" s="7" t="str">
        <f>IFERROR(__xludf.DUMMYFUNCTION("""COMPUTED_VALUE"""),"ថាន គីមឡាង")</f>
        <v>ថាន គីមឡាង</v>
      </c>
      <c r="C38" s="7" t="str">
        <f>IFERROR(__xludf.DUMMYFUNCTION("""COMPUTED_VALUE"""),"Than Kimlang")</f>
        <v>Than Kimlang</v>
      </c>
      <c r="D38" s="8" t="str">
        <f>IFERROR(__xludf.DUMMYFUNCTION("""COMPUTED_VALUE"""),"Female")</f>
        <v>Female</v>
      </c>
      <c r="E38" s="8" t="str">
        <f>IFERROR(__xludf.DUMMYFUNCTION("""COMPUTED_VALUE"""),"White")</f>
        <v>White</v>
      </c>
      <c r="F38" s="6"/>
      <c r="G38" s="8" t="str">
        <f>IFERROR(__xludf.DUMMYFUNCTION("""COMPUTED_VALUE"""),"#NUM!")</f>
        <v>#NUM!</v>
      </c>
      <c r="H38" s="9">
        <f>IFERROR(__xludf.DUMMYFUNCTION("""COMPUTED_VALUE"""),38940.0)</f>
        <v>38940</v>
      </c>
      <c r="I38" s="7" t="str">
        <f>IFERROR(__xludf.DUMMYFUNCTION("""COMPUTED_VALUE"""),"kimlangthan@gmail.com")</f>
        <v>kimlangthan@gmail.com</v>
      </c>
      <c r="J38" s="6" t="str">
        <f>IFERROR(__xludf.DUMMYFUNCTION("""COMPUTED_VALUE"""),"887274203")</f>
        <v>887274203</v>
      </c>
      <c r="K38" s="9">
        <f>IFERROR(__xludf.DUMMYFUNCTION("""COMPUTED_VALUE"""),46028.0)</f>
        <v>46028</v>
      </c>
      <c r="L38" s="8"/>
      <c r="M38" s="8"/>
    </row>
    <row r="39" ht="22.5" customHeight="1">
      <c r="A39" s="7" t="str">
        <f>IFERROR(__xludf.DUMMYFUNCTION("""COMPUTED_VALUE"""),"STU-F-038")</f>
        <v>STU-F-038</v>
      </c>
      <c r="B39" s="7" t="str">
        <f>IFERROR(__xludf.DUMMYFUNCTION("""COMPUTED_VALUE"""),"សាន វ៉ាន់ណារី")</f>
        <v>សាន វ៉ាន់ណារី</v>
      </c>
      <c r="C39" s="7" t="str">
        <f>IFERROR(__xludf.DUMMYFUNCTION("""COMPUTED_VALUE"""),"San Vannary")</f>
        <v>San Vannary</v>
      </c>
      <c r="D39" s="8" t="str">
        <f>IFERROR(__xludf.DUMMYFUNCTION("""COMPUTED_VALUE"""),"Female")</f>
        <v>Female</v>
      </c>
      <c r="E39" s="8" t="str">
        <f>IFERROR(__xludf.DUMMYFUNCTION("""COMPUTED_VALUE"""),"White")</f>
        <v>White</v>
      </c>
      <c r="F39" s="6"/>
      <c r="G39" s="8" t="str">
        <f>IFERROR(__xludf.DUMMYFUNCTION("""COMPUTED_VALUE"""),"#NUM!")</f>
        <v>#NUM!</v>
      </c>
      <c r="H39" s="9">
        <f>IFERROR(__xludf.DUMMYFUNCTION("""COMPUTED_VALUE"""),46038.0)</f>
        <v>46038</v>
      </c>
      <c r="I39" s="7" t="str">
        <f>IFERROR(__xludf.DUMMYFUNCTION("""COMPUTED_VALUE"""),"sanvannary11@gmail.com")</f>
        <v>sanvannary11@gmail.com</v>
      </c>
      <c r="J39" s="6" t="str">
        <f>IFERROR(__xludf.DUMMYFUNCTION("""COMPUTED_VALUE"""),"884703618")</f>
        <v>884703618</v>
      </c>
      <c r="K39" s="9">
        <f>IFERROR(__xludf.DUMMYFUNCTION("""COMPUTED_VALUE"""),46028.0)</f>
        <v>46028</v>
      </c>
      <c r="L39" s="8"/>
      <c r="M39" s="8"/>
      <c r="P39" s="11">
        <v>169.0</v>
      </c>
      <c r="Q39" s="11">
        <v>62.0</v>
      </c>
    </row>
    <row r="40" ht="22.5" customHeight="1">
      <c r="A40" s="7" t="str">
        <f>IFERROR(__xludf.DUMMYFUNCTION("""COMPUTED_VALUE"""),"STU-M-039")</f>
        <v>STU-M-039</v>
      </c>
      <c r="B40" s="7" t="str">
        <f>IFERROR(__xludf.DUMMYFUNCTION("""COMPUTED_VALUE"""),"ឆាយ  ឃុនម៉េង")</f>
        <v>ឆាយ  ឃុនម៉េង</v>
      </c>
      <c r="C40" s="7" t="str">
        <f>IFERROR(__xludf.DUMMYFUNCTION("""COMPUTED_VALUE"""),"Khunmeng Chhay")</f>
        <v>Khunmeng Chhay</v>
      </c>
      <c r="D40" s="8" t="str">
        <f>IFERROR(__xludf.DUMMYFUNCTION("""COMPUTED_VALUE"""),"Male")</f>
        <v>Male</v>
      </c>
      <c r="E40" s="8" t="str">
        <f>IFERROR(__xludf.DUMMYFUNCTION("""COMPUTED_VALUE"""),"Red")</f>
        <v>Red</v>
      </c>
      <c r="F40" s="6"/>
      <c r="G40" s="8" t="str">
        <f>IFERROR(__xludf.DUMMYFUNCTION("""COMPUTED_VALUE"""),"#NUM!")</f>
        <v>#NUM!</v>
      </c>
      <c r="H40" s="9">
        <f>IFERROR(__xludf.DUMMYFUNCTION("""COMPUTED_VALUE"""),40848.0)</f>
        <v>40848</v>
      </c>
      <c r="I40" s="7" t="str">
        <f>IFERROR(__xludf.DUMMYFUNCTION("""COMPUTED_VALUE"""),"khunmeng570818@gmail.com")</f>
        <v>khunmeng570818@gmail.com</v>
      </c>
      <c r="J40" s="6" t="str">
        <f>IFERROR(__xludf.DUMMYFUNCTION("""COMPUTED_VALUE"""),"12570818")</f>
        <v>12570818</v>
      </c>
      <c r="K40" s="9">
        <f>IFERROR(__xludf.DUMMYFUNCTION("""COMPUTED_VALUE"""),46029.0)</f>
        <v>46029</v>
      </c>
      <c r="L40" s="8"/>
      <c r="M40" s="8"/>
    </row>
    <row r="41" ht="22.5" customHeight="1">
      <c r="A41" s="7" t="str">
        <f>IFERROR(__xludf.DUMMYFUNCTION("""COMPUTED_VALUE"""),"STU-M-040")</f>
        <v>STU-M-040</v>
      </c>
      <c r="B41" s="7" t="str">
        <f>IFERROR(__xludf.DUMMYFUNCTION("""COMPUTED_VALUE"""),"ផល្លា ផល្លា ដាលាភ")</f>
        <v>ផល្លា ផល្លា ដាលាភ</v>
      </c>
      <c r="C41" s="7" t="str">
        <f>IFERROR(__xludf.DUMMYFUNCTION("""COMPUTED_VALUE"""),"Daleap Phalla ")</f>
        <v>Daleap Phalla </v>
      </c>
      <c r="D41" s="8" t="str">
        <f>IFERROR(__xludf.DUMMYFUNCTION("""COMPUTED_VALUE"""),"Male")</f>
        <v>Male</v>
      </c>
      <c r="E41" s="8" t="str">
        <f>IFERROR(__xludf.DUMMYFUNCTION("""COMPUTED_VALUE"""),"Yellow")</f>
        <v>Yellow</v>
      </c>
      <c r="F41" s="6"/>
      <c r="G41" s="8" t="str">
        <f>IFERROR(__xludf.DUMMYFUNCTION("""COMPUTED_VALUE"""),"#NUM!")</f>
        <v>#NUM!</v>
      </c>
      <c r="H41" s="9">
        <f>IFERROR(__xludf.DUMMYFUNCTION("""COMPUTED_VALUE"""),40535.0)</f>
        <v>40535</v>
      </c>
      <c r="I41" s="7" t="str">
        <f>IFERROR(__xludf.DUMMYFUNCTION("""COMPUTED_VALUE"""),"sfla87692@gmail.com")</f>
        <v>sfla87692@gmail.com</v>
      </c>
      <c r="J41" s="6" t="str">
        <f>IFERROR(__xludf.DUMMYFUNCTION("""COMPUTED_VALUE"""),"886452745")</f>
        <v>886452745</v>
      </c>
      <c r="K41" s="9">
        <f>IFERROR(__xludf.DUMMYFUNCTION("""COMPUTED_VALUE"""),46029.0)</f>
        <v>46029</v>
      </c>
      <c r="L41" s="8"/>
      <c r="M41" s="8"/>
    </row>
    <row r="42" ht="22.5" customHeight="1">
      <c r="A42" s="7"/>
      <c r="B42" s="7"/>
      <c r="C42" s="7"/>
      <c r="D42" s="8"/>
      <c r="E42" s="8"/>
      <c r="F42" s="6"/>
      <c r="G42" s="8"/>
      <c r="H42" s="9"/>
      <c r="I42" s="7"/>
      <c r="J42" s="6"/>
      <c r="K42" s="9"/>
      <c r="L42" s="8"/>
      <c r="M42" s="8"/>
    </row>
    <row r="43" ht="22.5" customHeight="1">
      <c r="A43" s="7"/>
      <c r="B43" s="7"/>
      <c r="C43" s="7"/>
      <c r="D43" s="8"/>
      <c r="E43" s="8"/>
      <c r="F43" s="6"/>
      <c r="G43" s="8"/>
      <c r="H43" s="9"/>
      <c r="I43" s="7"/>
      <c r="J43" s="6"/>
      <c r="K43" s="9"/>
      <c r="L43" s="8"/>
      <c r="M43" s="8"/>
    </row>
    <row r="44" ht="22.5" customHeight="1">
      <c r="A44" s="7"/>
      <c r="B44" s="7"/>
      <c r="C44" s="7"/>
      <c r="D44" s="8"/>
      <c r="E44" s="8"/>
      <c r="F44" s="6"/>
      <c r="G44" s="8"/>
      <c r="H44" s="9"/>
      <c r="I44" s="7"/>
      <c r="J44" s="6"/>
      <c r="K44" s="9"/>
      <c r="L44" s="8"/>
      <c r="M44" s="8"/>
    </row>
    <row r="45" ht="22.5" customHeight="1">
      <c r="A45" s="7"/>
      <c r="B45" s="7"/>
      <c r="C45" s="7"/>
      <c r="D45" s="8"/>
      <c r="E45" s="8"/>
      <c r="F45" s="6"/>
      <c r="G45" s="8"/>
      <c r="H45" s="9"/>
      <c r="I45" s="7"/>
      <c r="J45" s="6"/>
      <c r="K45" s="9"/>
      <c r="L45" s="8"/>
      <c r="M45" s="8"/>
    </row>
  </sheetData>
  <dataValidations>
    <dataValidation type="list" allowBlank="1" sqref="D2:D45">
      <formula1>"Female,Male"</formula1>
    </dataValidation>
    <dataValidation type="list" allowBlank="1" sqref="E2:E45">
      <formula1>"Black 1 Poom/Dan,Yellow,Red,Black 2 Poom/Dan,Blue,Brown,White,Green"</formula1>
    </dataValidation>
    <dataValidation type="list" allowBlank="1" sqref="G2:G45">
      <formula1>"NO,YES"</formula1>
    </dataValidation>
    <dataValidation type="list" allowBlank="1" sqref="L2:L45">
      <formula1>"Yes,No"</formula1>
    </dataValidation>
    <dataValidation type="list" allowBlank="1" sqref="M2:M45">
      <formula1>"Full,Athlete,Academic,Talent,50%,20%,70%,Women in Sport"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63"/>
    <col customWidth="1" min="2" max="2" width="27.13"/>
    <col customWidth="1" min="3" max="3" width="30.38"/>
    <col customWidth="1" min="4" max="4" width="15.5"/>
    <col customWidth="1" min="5" max="6" width="20.5"/>
    <col customWidth="1" min="7" max="7" width="17.25"/>
    <col customWidth="1" min="8" max="26" width="20.5"/>
  </cols>
  <sheetData>
    <row r="1" ht="22.5" customHeight="1">
      <c r="A1" s="1" t="s">
        <v>0</v>
      </c>
      <c r="B1" s="1" t="s">
        <v>36</v>
      </c>
      <c r="C1" s="1" t="s">
        <v>37</v>
      </c>
      <c r="D1" s="1" t="s">
        <v>38</v>
      </c>
      <c r="E1" s="1" t="s">
        <v>39</v>
      </c>
      <c r="F1" s="1" t="s">
        <v>40</v>
      </c>
      <c r="G1" s="2" t="s">
        <v>41</v>
      </c>
      <c r="H1" s="2" t="s">
        <v>42</v>
      </c>
      <c r="I1" s="2" t="s">
        <v>43</v>
      </c>
    </row>
    <row r="2" ht="22.5" customHeight="1">
      <c r="A2" s="11" t="str">
        <f t="array" ref="A2:A67">IF(B2:B67="", "", IFERROR(XLOOKUP(B2:B67, Students!C:C, Students!A:A), "Not Found"))</f>
        <v>STU-F-001</v>
      </c>
      <c r="B2" s="10" t="s">
        <v>44</v>
      </c>
      <c r="C2" s="10" t="s">
        <v>45</v>
      </c>
      <c r="D2" s="13">
        <v>45912.0</v>
      </c>
      <c r="E2" s="10" t="s">
        <v>46</v>
      </c>
      <c r="F2" s="11" t="s">
        <v>47</v>
      </c>
      <c r="G2" s="10" t="s">
        <v>48</v>
      </c>
    </row>
    <row r="3" ht="22.5" customHeight="1">
      <c r="A3" s="11" t="s">
        <v>49</v>
      </c>
      <c r="B3" s="10" t="s">
        <v>50</v>
      </c>
      <c r="C3" s="10" t="s">
        <v>45</v>
      </c>
      <c r="D3" s="13">
        <v>45912.0</v>
      </c>
      <c r="E3" s="10" t="s">
        <v>46</v>
      </c>
      <c r="F3" s="11" t="s">
        <v>47</v>
      </c>
      <c r="G3" s="10" t="s">
        <v>48</v>
      </c>
    </row>
    <row r="4" ht="22.5" customHeight="1">
      <c r="A4" s="7" t="s">
        <v>51</v>
      </c>
      <c r="B4" s="10" t="s">
        <v>52</v>
      </c>
      <c r="C4" s="10" t="s">
        <v>45</v>
      </c>
      <c r="D4" s="13">
        <v>45912.0</v>
      </c>
      <c r="E4" s="10" t="s">
        <v>46</v>
      </c>
      <c r="F4" s="11" t="s">
        <v>47</v>
      </c>
      <c r="G4" s="10" t="s">
        <v>48</v>
      </c>
    </row>
    <row r="5" ht="22.5" customHeight="1">
      <c r="A5" s="7" t="s">
        <v>53</v>
      </c>
      <c r="B5" s="10" t="s">
        <v>44</v>
      </c>
      <c r="C5" s="10" t="s">
        <v>54</v>
      </c>
      <c r="D5" s="13">
        <v>45990.0</v>
      </c>
      <c r="E5" s="10" t="s">
        <v>55</v>
      </c>
      <c r="F5" s="11" t="s">
        <v>56</v>
      </c>
      <c r="G5" s="10" t="s">
        <v>57</v>
      </c>
    </row>
    <row r="6" ht="22.5" customHeight="1">
      <c r="A6" s="7" t="s">
        <v>58</v>
      </c>
      <c r="B6" s="10" t="s">
        <v>59</v>
      </c>
      <c r="C6" s="10" t="s">
        <v>54</v>
      </c>
      <c r="D6" s="13">
        <v>45990.0</v>
      </c>
      <c r="E6" s="10" t="s">
        <v>55</v>
      </c>
      <c r="F6" s="11" t="s">
        <v>56</v>
      </c>
      <c r="G6" s="10" t="s">
        <v>60</v>
      </c>
    </row>
    <row r="7" ht="22.5" customHeight="1">
      <c r="A7" s="7" t="s">
        <v>61</v>
      </c>
      <c r="B7" s="10" t="s">
        <v>62</v>
      </c>
      <c r="C7" s="10" t="s">
        <v>54</v>
      </c>
      <c r="D7" s="13">
        <v>45990.0</v>
      </c>
      <c r="E7" s="10" t="s">
        <v>55</v>
      </c>
      <c r="F7" s="11" t="s">
        <v>56</v>
      </c>
      <c r="G7" s="10" t="s">
        <v>48</v>
      </c>
    </row>
    <row r="8" ht="22.5" customHeight="1">
      <c r="A8" s="7" t="s">
        <v>51</v>
      </c>
      <c r="B8" s="10" t="s">
        <v>52</v>
      </c>
      <c r="C8" s="10" t="s">
        <v>63</v>
      </c>
      <c r="D8" s="13">
        <v>46008.0</v>
      </c>
      <c r="E8" s="10" t="s">
        <v>55</v>
      </c>
      <c r="F8" s="11" t="s">
        <v>56</v>
      </c>
      <c r="G8" s="10" t="s">
        <v>60</v>
      </c>
    </row>
    <row r="9" ht="22.5" customHeight="1">
      <c r="A9" s="7" t="s">
        <v>51</v>
      </c>
      <c r="B9" s="10" t="s">
        <v>52</v>
      </c>
      <c r="C9" s="10" t="s">
        <v>63</v>
      </c>
      <c r="D9" s="13">
        <v>46008.0</v>
      </c>
      <c r="E9" s="10" t="s">
        <v>55</v>
      </c>
      <c r="F9" s="11" t="s">
        <v>47</v>
      </c>
      <c r="G9" s="10" t="s">
        <v>57</v>
      </c>
    </row>
    <row r="10" ht="22.5" customHeight="1">
      <c r="A10" s="6" t="s">
        <v>61</v>
      </c>
      <c r="B10" s="10" t="s">
        <v>62</v>
      </c>
      <c r="C10" s="10" t="s">
        <v>64</v>
      </c>
      <c r="D10" s="13">
        <v>45270.0</v>
      </c>
      <c r="E10" s="10" t="s">
        <v>55</v>
      </c>
      <c r="F10" s="11" t="s">
        <v>56</v>
      </c>
      <c r="G10" s="10" t="s">
        <v>57</v>
      </c>
    </row>
    <row r="11" ht="22.5" customHeight="1">
      <c r="A11" s="6" t="s">
        <v>61</v>
      </c>
      <c r="B11" s="10" t="s">
        <v>62</v>
      </c>
      <c r="C11" s="10" t="s">
        <v>65</v>
      </c>
      <c r="D11" s="13">
        <v>45290.0</v>
      </c>
      <c r="E11" s="10" t="s">
        <v>55</v>
      </c>
      <c r="F11" s="11" t="s">
        <v>56</v>
      </c>
      <c r="G11" s="10" t="s">
        <v>60</v>
      </c>
    </row>
    <row r="12" ht="22.5" customHeight="1">
      <c r="A12" s="6" t="s">
        <v>61</v>
      </c>
      <c r="B12" s="10" t="s">
        <v>62</v>
      </c>
      <c r="C12" s="10" t="s">
        <v>66</v>
      </c>
      <c r="D12" s="13">
        <v>45416.0</v>
      </c>
      <c r="E12" s="10" t="s">
        <v>55</v>
      </c>
      <c r="F12" s="11" t="s">
        <v>56</v>
      </c>
      <c r="G12" s="10" t="s">
        <v>48</v>
      </c>
    </row>
    <row r="13" ht="22.5" customHeight="1">
      <c r="A13" s="6" t="s">
        <v>61</v>
      </c>
      <c r="B13" s="10" t="s">
        <v>62</v>
      </c>
      <c r="C13" s="10" t="s">
        <v>67</v>
      </c>
      <c r="D13" s="13">
        <v>45528.0</v>
      </c>
      <c r="E13" s="10" t="s">
        <v>55</v>
      </c>
      <c r="F13" s="11" t="s">
        <v>56</v>
      </c>
      <c r="G13" s="10" t="s">
        <v>48</v>
      </c>
    </row>
    <row r="14" ht="22.5" customHeight="1">
      <c r="A14" s="6" t="s">
        <v>61</v>
      </c>
      <c r="B14" s="10" t="s">
        <v>62</v>
      </c>
      <c r="C14" s="10" t="s">
        <v>68</v>
      </c>
      <c r="D14" s="13">
        <v>45646.0</v>
      </c>
      <c r="E14" s="10" t="s">
        <v>55</v>
      </c>
      <c r="F14" s="11" t="s">
        <v>56</v>
      </c>
      <c r="G14" s="10" t="s">
        <v>60</v>
      </c>
    </row>
    <row r="15" ht="22.5" customHeight="1">
      <c r="A15" s="6" t="s">
        <v>61</v>
      </c>
      <c r="B15" s="10" t="s">
        <v>62</v>
      </c>
      <c r="C15" s="10" t="s">
        <v>69</v>
      </c>
      <c r="D15" s="13">
        <v>45731.0</v>
      </c>
      <c r="E15" s="10" t="s">
        <v>55</v>
      </c>
      <c r="F15" s="11" t="s">
        <v>56</v>
      </c>
      <c r="G15" s="10" t="s">
        <v>48</v>
      </c>
    </row>
    <row r="16" ht="22.5" customHeight="1">
      <c r="A16" s="6" t="s">
        <v>70</v>
      </c>
      <c r="B16" s="10" t="s">
        <v>71</v>
      </c>
      <c r="C16" s="10" t="s">
        <v>69</v>
      </c>
      <c r="D16" s="13">
        <v>45731.0</v>
      </c>
      <c r="E16" s="10" t="s">
        <v>55</v>
      </c>
      <c r="F16" s="11" t="s">
        <v>56</v>
      </c>
      <c r="G16" s="10" t="s">
        <v>60</v>
      </c>
    </row>
    <row r="17" ht="22.5" customHeight="1">
      <c r="A17" s="6" t="s">
        <v>70</v>
      </c>
      <c r="B17" s="10" t="s">
        <v>71</v>
      </c>
      <c r="C17" s="10" t="s">
        <v>72</v>
      </c>
      <c r="D17" s="13">
        <v>45878.0</v>
      </c>
      <c r="E17" s="10" t="s">
        <v>55</v>
      </c>
      <c r="F17" s="11" t="s">
        <v>73</v>
      </c>
      <c r="G17" s="10" t="s">
        <v>48</v>
      </c>
    </row>
    <row r="18" ht="22.5" customHeight="1">
      <c r="A18" s="6" t="s">
        <v>74</v>
      </c>
      <c r="B18" s="10" t="s">
        <v>75</v>
      </c>
      <c r="C18" s="10" t="s">
        <v>76</v>
      </c>
      <c r="D18" s="13">
        <v>45425.0</v>
      </c>
      <c r="E18" s="10" t="s">
        <v>55</v>
      </c>
      <c r="F18" s="11" t="s">
        <v>77</v>
      </c>
      <c r="G18" s="10" t="s">
        <v>60</v>
      </c>
    </row>
    <row r="19" ht="22.5" customHeight="1">
      <c r="A19" s="6" t="s">
        <v>74</v>
      </c>
      <c r="B19" s="10" t="s">
        <v>75</v>
      </c>
      <c r="C19" s="10" t="s">
        <v>76</v>
      </c>
      <c r="D19" s="13">
        <v>45425.0</v>
      </c>
      <c r="E19" s="10" t="s">
        <v>55</v>
      </c>
      <c r="F19" s="11" t="s">
        <v>78</v>
      </c>
      <c r="G19" s="10" t="s">
        <v>48</v>
      </c>
    </row>
    <row r="20" ht="22.5" customHeight="1">
      <c r="A20" s="6" t="s">
        <v>74</v>
      </c>
      <c r="B20" s="10" t="s">
        <v>75</v>
      </c>
      <c r="C20" s="10" t="s">
        <v>79</v>
      </c>
      <c r="D20" s="13">
        <v>45724.0</v>
      </c>
      <c r="E20" s="10" t="s">
        <v>55</v>
      </c>
      <c r="F20" s="11" t="s">
        <v>73</v>
      </c>
      <c r="G20" s="10" t="s">
        <v>80</v>
      </c>
    </row>
    <row r="21" ht="22.5" customHeight="1">
      <c r="A21" s="6" t="s">
        <v>74</v>
      </c>
      <c r="B21" s="10" t="s">
        <v>75</v>
      </c>
      <c r="C21" s="10" t="s">
        <v>79</v>
      </c>
      <c r="D21" s="13">
        <v>45724.0</v>
      </c>
      <c r="E21" s="10" t="s">
        <v>55</v>
      </c>
      <c r="F21" s="11" t="s">
        <v>78</v>
      </c>
      <c r="G21" s="10" t="s">
        <v>80</v>
      </c>
    </row>
    <row r="22" ht="22.5" customHeight="1">
      <c r="A22" s="6" t="s">
        <v>74</v>
      </c>
      <c r="B22" s="10" t="s">
        <v>75</v>
      </c>
      <c r="C22" s="10" t="s">
        <v>81</v>
      </c>
      <c r="D22" s="13">
        <v>45790.0</v>
      </c>
      <c r="E22" s="10" t="s">
        <v>55</v>
      </c>
      <c r="F22" s="11" t="s">
        <v>77</v>
      </c>
      <c r="G22" s="10" t="s">
        <v>80</v>
      </c>
    </row>
    <row r="23" ht="22.5" customHeight="1">
      <c r="A23" s="6" t="s">
        <v>74</v>
      </c>
      <c r="B23" s="10" t="s">
        <v>75</v>
      </c>
      <c r="C23" s="10" t="s">
        <v>81</v>
      </c>
      <c r="D23" s="13">
        <v>45790.0</v>
      </c>
      <c r="E23" s="10" t="s">
        <v>55</v>
      </c>
      <c r="F23" s="11" t="s">
        <v>78</v>
      </c>
      <c r="G23" s="10" t="s">
        <v>48</v>
      </c>
    </row>
    <row r="24" ht="22.5" customHeight="1">
      <c r="A24" s="7" t="s">
        <v>53</v>
      </c>
      <c r="B24" s="10" t="s">
        <v>44</v>
      </c>
      <c r="C24" s="10" t="s">
        <v>82</v>
      </c>
      <c r="D24" s="13">
        <v>46031.0</v>
      </c>
      <c r="E24" s="10" t="s">
        <v>55</v>
      </c>
      <c r="F24" s="11" t="s">
        <v>56</v>
      </c>
      <c r="G24" s="10" t="s">
        <v>57</v>
      </c>
    </row>
    <row r="25" ht="22.5" customHeight="1">
      <c r="A25" s="7" t="s">
        <v>53</v>
      </c>
      <c r="B25" s="10" t="s">
        <v>44</v>
      </c>
      <c r="C25" s="10" t="s">
        <v>82</v>
      </c>
      <c r="D25" s="13">
        <v>46031.0</v>
      </c>
      <c r="E25" s="10" t="s">
        <v>83</v>
      </c>
      <c r="F25" s="11" t="s">
        <v>56</v>
      </c>
      <c r="G25" s="10" t="s">
        <v>60</v>
      </c>
    </row>
    <row r="26" ht="22.5" customHeight="1">
      <c r="A26" s="7" t="s">
        <v>51</v>
      </c>
      <c r="B26" s="10" t="s">
        <v>84</v>
      </c>
      <c r="C26" s="10" t="s">
        <v>82</v>
      </c>
      <c r="D26" s="13">
        <v>46031.0</v>
      </c>
      <c r="E26" s="10" t="s">
        <v>55</v>
      </c>
      <c r="F26" s="11" t="s">
        <v>56</v>
      </c>
      <c r="G26" s="10" t="s">
        <v>48</v>
      </c>
    </row>
    <row r="27" ht="22.5" customHeight="1">
      <c r="A27" s="7" t="s">
        <v>49</v>
      </c>
      <c r="B27" s="10" t="s">
        <v>50</v>
      </c>
      <c r="C27" s="10" t="s">
        <v>82</v>
      </c>
      <c r="D27" s="13">
        <v>46031.0</v>
      </c>
      <c r="E27" s="10" t="s">
        <v>55</v>
      </c>
      <c r="F27" s="11" t="s">
        <v>77</v>
      </c>
      <c r="G27" s="10" t="s">
        <v>48</v>
      </c>
    </row>
    <row r="28" ht="22.5" customHeight="1">
      <c r="A28" s="7" t="s">
        <v>49</v>
      </c>
      <c r="B28" s="10" t="s">
        <v>50</v>
      </c>
      <c r="C28" s="10" t="s">
        <v>82</v>
      </c>
      <c r="D28" s="13">
        <v>46031.0</v>
      </c>
      <c r="E28" s="10" t="s">
        <v>55</v>
      </c>
      <c r="F28" s="11" t="s">
        <v>73</v>
      </c>
      <c r="G28" s="10" t="s">
        <v>48</v>
      </c>
    </row>
    <row r="29" ht="22.5" customHeight="1">
      <c r="A29" s="7" t="s">
        <v>85</v>
      </c>
      <c r="B29" s="10" t="s">
        <v>86</v>
      </c>
      <c r="C29" s="10" t="s">
        <v>82</v>
      </c>
      <c r="D29" s="13">
        <v>46031.0</v>
      </c>
      <c r="E29" s="10" t="s">
        <v>55</v>
      </c>
      <c r="F29" s="11" t="s">
        <v>56</v>
      </c>
      <c r="G29" s="10" t="s">
        <v>48</v>
      </c>
    </row>
    <row r="30" ht="22.5" customHeight="1">
      <c r="A30" s="7" t="s">
        <v>85</v>
      </c>
      <c r="B30" s="10" t="s">
        <v>86</v>
      </c>
      <c r="C30" s="10" t="s">
        <v>82</v>
      </c>
      <c r="D30" s="13">
        <v>46031.0</v>
      </c>
      <c r="E30" s="10" t="s">
        <v>55</v>
      </c>
      <c r="F30" s="11" t="s">
        <v>73</v>
      </c>
      <c r="G30" s="10" t="s">
        <v>48</v>
      </c>
    </row>
    <row r="31" ht="22.5" customHeight="1">
      <c r="A31" s="7" t="s">
        <v>61</v>
      </c>
      <c r="B31" s="10" t="s">
        <v>87</v>
      </c>
      <c r="C31" s="10" t="s">
        <v>82</v>
      </c>
      <c r="D31" s="13">
        <v>46031.0</v>
      </c>
      <c r="E31" s="10" t="s">
        <v>55</v>
      </c>
      <c r="F31" s="11" t="s">
        <v>56</v>
      </c>
      <c r="G31" s="10" t="s">
        <v>48</v>
      </c>
    </row>
    <row r="32" ht="22.5" customHeight="1">
      <c r="A32" s="7" t="s">
        <v>88</v>
      </c>
      <c r="B32" s="10" t="s">
        <v>89</v>
      </c>
      <c r="C32" s="10" t="s">
        <v>82</v>
      </c>
      <c r="D32" s="13">
        <v>46031.0</v>
      </c>
      <c r="E32" s="10" t="s">
        <v>55</v>
      </c>
      <c r="F32" s="11" t="s">
        <v>56</v>
      </c>
      <c r="G32" s="10" t="s">
        <v>48</v>
      </c>
    </row>
    <row r="33" ht="22.5" customHeight="1">
      <c r="A33" s="7" t="s">
        <v>88</v>
      </c>
      <c r="B33" s="10" t="s">
        <v>89</v>
      </c>
      <c r="C33" s="10" t="s">
        <v>82</v>
      </c>
      <c r="D33" s="13">
        <v>46031.0</v>
      </c>
      <c r="E33" s="10" t="s">
        <v>83</v>
      </c>
      <c r="F33" s="11" t="s">
        <v>56</v>
      </c>
      <c r="G33" s="10" t="s">
        <v>60</v>
      </c>
    </row>
    <row r="34" ht="22.5" customHeight="1">
      <c r="A34" s="7" t="s">
        <v>90</v>
      </c>
      <c r="B34" s="10" t="s">
        <v>91</v>
      </c>
      <c r="C34" s="10" t="s">
        <v>82</v>
      </c>
      <c r="D34" s="13">
        <v>46032.0</v>
      </c>
      <c r="E34" s="10" t="s">
        <v>55</v>
      </c>
      <c r="F34" s="11" t="s">
        <v>56</v>
      </c>
      <c r="G34" s="10" t="s">
        <v>60</v>
      </c>
    </row>
    <row r="35" ht="22.5" customHeight="1">
      <c r="A35" s="7" t="s">
        <v>92</v>
      </c>
      <c r="B35" s="10" t="s">
        <v>93</v>
      </c>
      <c r="C35" s="10" t="s">
        <v>82</v>
      </c>
      <c r="D35" s="13">
        <v>46031.0</v>
      </c>
      <c r="E35" s="10" t="s">
        <v>55</v>
      </c>
      <c r="F35" s="11" t="s">
        <v>56</v>
      </c>
      <c r="G35" s="10" t="s">
        <v>57</v>
      </c>
    </row>
    <row r="36" ht="22.5" customHeight="1">
      <c r="A36" s="7" t="s">
        <v>94</v>
      </c>
      <c r="B36" s="10" t="s">
        <v>95</v>
      </c>
      <c r="C36" s="10" t="s">
        <v>82</v>
      </c>
      <c r="D36" s="13">
        <v>46031.0</v>
      </c>
      <c r="E36" s="10" t="s">
        <v>55</v>
      </c>
      <c r="F36" s="11" t="s">
        <v>56</v>
      </c>
      <c r="G36" s="10" t="s">
        <v>48</v>
      </c>
    </row>
    <row r="37" ht="22.5" customHeight="1">
      <c r="A37" s="6" t="s">
        <v>96</v>
      </c>
      <c r="B37" s="8"/>
      <c r="C37" s="8"/>
      <c r="D37" s="9"/>
      <c r="E37" s="8"/>
      <c r="G37" s="8"/>
    </row>
    <row r="38" ht="22.5" customHeight="1">
      <c r="A38" s="6" t="s">
        <v>96</v>
      </c>
      <c r="B38" s="8"/>
      <c r="C38" s="8"/>
      <c r="D38" s="9"/>
      <c r="E38" s="8"/>
      <c r="G38" s="8"/>
    </row>
    <row r="39" ht="22.5" customHeight="1">
      <c r="A39" s="7" t="s">
        <v>96</v>
      </c>
      <c r="B39" s="8"/>
      <c r="C39" s="8"/>
      <c r="D39" s="9"/>
      <c r="E39" s="8"/>
      <c r="F39" s="7"/>
      <c r="G39" s="8"/>
    </row>
    <row r="40" ht="22.5" customHeight="1">
      <c r="A40" s="7" t="s">
        <v>96</v>
      </c>
      <c r="B40" s="8"/>
      <c r="C40" s="8"/>
      <c r="D40" s="9"/>
      <c r="E40" s="8"/>
      <c r="F40" s="7"/>
      <c r="G40" s="8"/>
    </row>
    <row r="41" ht="22.5" customHeight="1">
      <c r="A41" s="7" t="s">
        <v>96</v>
      </c>
      <c r="B41" s="8"/>
      <c r="C41" s="8"/>
      <c r="D41" s="9"/>
      <c r="E41" s="8"/>
      <c r="F41" s="7"/>
      <c r="G41" s="8"/>
    </row>
    <row r="42" ht="22.5" customHeight="1">
      <c r="A42" s="7" t="s">
        <v>96</v>
      </c>
      <c r="B42" s="8"/>
      <c r="C42" s="8"/>
      <c r="D42" s="9"/>
      <c r="E42" s="8"/>
      <c r="F42" s="7"/>
      <c r="G42" s="8"/>
    </row>
    <row r="43" ht="22.5" customHeight="1">
      <c r="A43" s="7" t="s">
        <v>96</v>
      </c>
      <c r="B43" s="8"/>
      <c r="C43" s="8"/>
      <c r="D43" s="9"/>
      <c r="E43" s="8"/>
      <c r="F43" s="7"/>
      <c r="G43" s="8"/>
    </row>
    <row r="44" ht="22.5" customHeight="1">
      <c r="A44" s="7" t="s">
        <v>96</v>
      </c>
      <c r="B44" s="8"/>
      <c r="C44" s="8"/>
      <c r="D44" s="9"/>
      <c r="E44" s="8"/>
      <c r="F44" s="7"/>
      <c r="G44" s="8"/>
    </row>
    <row r="45" ht="22.5" customHeight="1">
      <c r="A45" s="6" t="s">
        <v>96</v>
      </c>
      <c r="B45" s="8"/>
      <c r="C45" s="8"/>
      <c r="D45" s="9"/>
      <c r="E45" s="8"/>
      <c r="G45" s="8"/>
    </row>
    <row r="46" ht="22.5" customHeight="1">
      <c r="A46" s="6" t="s">
        <v>96</v>
      </c>
      <c r="B46" s="8"/>
      <c r="C46" s="8"/>
      <c r="D46" s="9"/>
      <c r="E46" s="8"/>
      <c r="G46" s="8"/>
    </row>
    <row r="47" ht="22.5" customHeight="1">
      <c r="A47" s="7" t="s">
        <v>96</v>
      </c>
      <c r="B47" s="8"/>
      <c r="C47" s="8"/>
      <c r="D47" s="9"/>
      <c r="E47" s="8"/>
      <c r="F47" s="7"/>
      <c r="G47" s="8"/>
    </row>
    <row r="48" ht="22.5" customHeight="1">
      <c r="A48" s="7" t="s">
        <v>96</v>
      </c>
      <c r="B48" s="8"/>
      <c r="C48" s="8"/>
      <c r="D48" s="9"/>
      <c r="E48" s="8"/>
      <c r="F48" s="7"/>
      <c r="G48" s="8"/>
    </row>
    <row r="49" ht="22.5" customHeight="1">
      <c r="A49" s="6" t="s">
        <v>96</v>
      </c>
      <c r="B49" s="8"/>
      <c r="C49" s="8"/>
      <c r="D49" s="9"/>
      <c r="E49" s="8"/>
      <c r="G49" s="8"/>
    </row>
    <row r="50" ht="22.5" customHeight="1">
      <c r="A50" s="6" t="s">
        <v>96</v>
      </c>
      <c r="B50" s="8"/>
      <c r="C50" s="8"/>
      <c r="D50" s="9"/>
      <c r="E50" s="8"/>
      <c r="G50" s="8"/>
    </row>
    <row r="51" ht="22.5" customHeight="1">
      <c r="A51" s="6" t="s">
        <v>96</v>
      </c>
      <c r="B51" s="8"/>
      <c r="C51" s="8"/>
      <c r="D51" s="9"/>
      <c r="E51" s="8"/>
      <c r="G51" s="8"/>
    </row>
    <row r="52" ht="22.5" customHeight="1">
      <c r="A52" s="6" t="s">
        <v>96</v>
      </c>
      <c r="B52" s="8"/>
      <c r="C52" s="8"/>
      <c r="D52" s="9"/>
      <c r="E52" s="8"/>
      <c r="G52" s="8"/>
    </row>
    <row r="53" ht="22.5" customHeight="1">
      <c r="A53" s="6" t="s">
        <v>96</v>
      </c>
      <c r="B53" s="8"/>
      <c r="C53" s="8"/>
      <c r="D53" s="9"/>
      <c r="E53" s="8"/>
      <c r="G53" s="8"/>
    </row>
    <row r="54" ht="22.5" customHeight="1">
      <c r="A54" s="6" t="s">
        <v>96</v>
      </c>
      <c r="B54" s="8"/>
      <c r="C54" s="8"/>
      <c r="D54" s="9"/>
      <c r="E54" s="8"/>
      <c r="G54" s="8"/>
    </row>
    <row r="55" ht="22.5" customHeight="1">
      <c r="A55" s="6" t="s">
        <v>96</v>
      </c>
      <c r="B55" s="8"/>
      <c r="C55" s="8"/>
      <c r="D55" s="9"/>
      <c r="E55" s="8"/>
      <c r="G55" s="8"/>
    </row>
    <row r="56" ht="22.5" customHeight="1">
      <c r="A56" s="6" t="s">
        <v>96</v>
      </c>
      <c r="B56" s="8"/>
      <c r="C56" s="8"/>
      <c r="D56" s="9"/>
      <c r="E56" s="8"/>
      <c r="G56" s="8"/>
    </row>
    <row r="57" ht="22.5" customHeight="1">
      <c r="A57" s="6" t="s">
        <v>96</v>
      </c>
      <c r="B57" s="8"/>
      <c r="C57" s="8"/>
      <c r="D57" s="9"/>
      <c r="E57" s="8"/>
      <c r="G57" s="8"/>
    </row>
    <row r="58" ht="22.5" customHeight="1">
      <c r="A58" s="6" t="s">
        <v>96</v>
      </c>
      <c r="B58" s="8"/>
      <c r="C58" s="8"/>
      <c r="D58" s="9"/>
      <c r="E58" s="8"/>
      <c r="G58" s="8"/>
    </row>
    <row r="59" ht="22.5" customHeight="1">
      <c r="A59" s="6" t="s">
        <v>96</v>
      </c>
      <c r="B59" s="8"/>
      <c r="C59" s="8"/>
      <c r="D59" s="9"/>
      <c r="E59" s="8"/>
      <c r="G59" s="8"/>
    </row>
    <row r="60" ht="22.5" customHeight="1">
      <c r="A60" s="6" t="s">
        <v>96</v>
      </c>
      <c r="B60" s="8"/>
      <c r="C60" s="8"/>
      <c r="D60" s="9"/>
      <c r="E60" s="8"/>
      <c r="G60" s="8"/>
    </row>
    <row r="61" ht="22.5" customHeight="1">
      <c r="A61" s="6" t="s">
        <v>96</v>
      </c>
      <c r="B61" s="8"/>
      <c r="C61" s="8"/>
      <c r="D61" s="9"/>
      <c r="E61" s="8"/>
      <c r="G61" s="8"/>
    </row>
    <row r="62" ht="22.5" customHeight="1">
      <c r="A62" s="7" t="s">
        <v>96</v>
      </c>
      <c r="B62" s="8"/>
      <c r="C62" s="8"/>
      <c r="D62" s="9"/>
      <c r="E62" s="8"/>
      <c r="F62" s="7"/>
      <c r="G62" s="8"/>
    </row>
    <row r="63" ht="22.5" customHeight="1">
      <c r="A63" s="7" t="s">
        <v>96</v>
      </c>
      <c r="B63" s="8"/>
      <c r="C63" s="8"/>
      <c r="D63" s="9"/>
      <c r="E63" s="8"/>
      <c r="F63" s="7"/>
      <c r="G63" s="8"/>
    </row>
    <row r="64" ht="22.5" customHeight="1">
      <c r="A64" s="7" t="s">
        <v>96</v>
      </c>
      <c r="B64" s="8"/>
      <c r="C64" s="8"/>
      <c r="D64" s="9"/>
      <c r="E64" s="8"/>
      <c r="F64" s="7"/>
      <c r="G64" s="8"/>
    </row>
    <row r="65" ht="22.5" customHeight="1">
      <c r="A65" s="7" t="s">
        <v>96</v>
      </c>
      <c r="B65" s="8"/>
      <c r="C65" s="8"/>
      <c r="D65" s="9"/>
      <c r="E65" s="8"/>
      <c r="F65" s="7"/>
      <c r="G65" s="8"/>
    </row>
    <row r="66" ht="22.5" customHeight="1">
      <c r="A66" s="7" t="s">
        <v>96</v>
      </c>
      <c r="B66" s="8"/>
      <c r="C66" s="8"/>
      <c r="D66" s="9"/>
      <c r="E66" s="8"/>
      <c r="F66" s="7"/>
      <c r="G66" s="8"/>
    </row>
    <row r="67" ht="22.5" customHeight="1">
      <c r="A67" s="7" t="s">
        <v>96</v>
      </c>
      <c r="B67" s="8"/>
      <c r="C67" s="8"/>
      <c r="D67" s="9"/>
      <c r="E67" s="8"/>
      <c r="F67" s="7"/>
      <c r="G67" s="8"/>
    </row>
  </sheetData>
  <dataValidations>
    <dataValidation type="list" allowBlank="1" sqref="G2:G67">
      <formula1>"Gold,Silver,Bronze,Participation"</formula1>
    </dataValidation>
    <dataValidation type="custom" allowBlank="1" showDropDown="1" sqref="D2:D67">
      <formula1>OR(NOT(ISERROR(DATEVALUE(D2))), AND(ISNUMBER(D2), LEFT(CELL("format", D2))="D"))</formula1>
    </dataValidation>
    <dataValidation type="list" allowBlank="1" sqref="E2:E67">
      <formula1>"Freestyle Poomsae,Recognized Poomsae,Demonstration,Board Braking,Kyorugi,Speed Kicking"</formula1>
    </dataValidation>
    <dataValidation type="list" allowBlank="1" sqref="B2:C67">
      <formula1>#REF!</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1.38"/>
    <col customWidth="1" min="3" max="3" width="20.25"/>
    <col customWidth="1" min="4" max="4" width="13.63"/>
    <col customWidth="1" min="5" max="5" width="27.38"/>
    <col customWidth="1" min="6" max="27" width="25.25"/>
  </cols>
  <sheetData>
    <row r="1" ht="22.5" customHeight="1">
      <c r="A1" s="1" t="s">
        <v>0</v>
      </c>
      <c r="B1" s="1" t="s">
        <v>97</v>
      </c>
      <c r="C1" s="1" t="s">
        <v>98</v>
      </c>
      <c r="D1" s="1" t="s">
        <v>99</v>
      </c>
      <c r="E1" s="1" t="s">
        <v>36</v>
      </c>
    </row>
    <row r="2" ht="22.5" customHeight="1">
      <c r="A2" s="7" t="str">
        <f t="array" ref="A2:A95">IF(E2:E95="", "", IFERROR(XLOOKUP(E2:E95, Students!C:C, Students!A:A), "Not Found"))</f>
        <v>STU-F-001</v>
      </c>
      <c r="B2" s="10" t="s">
        <v>100</v>
      </c>
      <c r="C2" s="13">
        <v>45776.0</v>
      </c>
      <c r="D2" s="11"/>
      <c r="E2" s="10" t="s">
        <v>44</v>
      </c>
    </row>
    <row r="3" ht="22.5" customHeight="1">
      <c r="A3" s="7" t="s">
        <v>53</v>
      </c>
      <c r="B3" s="10" t="s">
        <v>101</v>
      </c>
      <c r="C3" s="13">
        <v>45897.0</v>
      </c>
      <c r="D3" s="11"/>
      <c r="E3" s="10" t="s">
        <v>44</v>
      </c>
    </row>
    <row r="4" ht="22.5" customHeight="1">
      <c r="A4" s="7" t="s">
        <v>53</v>
      </c>
      <c r="B4" s="10" t="s">
        <v>102</v>
      </c>
      <c r="C4" s="13">
        <v>45958.0</v>
      </c>
      <c r="D4" s="7"/>
      <c r="E4" s="10" t="s">
        <v>44</v>
      </c>
    </row>
    <row r="5" ht="22.5" customHeight="1">
      <c r="A5" s="7" t="s">
        <v>70</v>
      </c>
      <c r="B5" s="10" t="s">
        <v>103</v>
      </c>
      <c r="C5" s="13">
        <v>45352.0</v>
      </c>
      <c r="D5" s="7"/>
      <c r="E5" s="10" t="s">
        <v>71</v>
      </c>
    </row>
    <row r="6" ht="22.5" customHeight="1">
      <c r="A6" s="7" t="s">
        <v>70</v>
      </c>
      <c r="B6" s="10" t="s">
        <v>104</v>
      </c>
      <c r="C6" s="13">
        <v>45383.0</v>
      </c>
      <c r="D6" s="7"/>
      <c r="E6" s="10" t="s">
        <v>71</v>
      </c>
    </row>
    <row r="7" ht="22.5" customHeight="1">
      <c r="A7" s="7" t="s">
        <v>70</v>
      </c>
      <c r="B7" s="10" t="s">
        <v>105</v>
      </c>
      <c r="C7" s="13">
        <v>45505.0</v>
      </c>
      <c r="D7" s="7"/>
      <c r="E7" s="10" t="s">
        <v>71</v>
      </c>
    </row>
    <row r="8" ht="22.5" customHeight="1">
      <c r="A8" s="7" t="s">
        <v>70</v>
      </c>
      <c r="B8" s="10" t="s">
        <v>100</v>
      </c>
      <c r="C8" s="13">
        <v>45597.0</v>
      </c>
      <c r="D8" s="7"/>
      <c r="E8" s="10" t="s">
        <v>71</v>
      </c>
    </row>
    <row r="9" ht="22.5" customHeight="1">
      <c r="A9" s="7" t="s">
        <v>70</v>
      </c>
      <c r="B9" s="10" t="s">
        <v>101</v>
      </c>
      <c r="C9" s="13">
        <v>45658.0</v>
      </c>
      <c r="D9" s="7"/>
      <c r="E9" s="10" t="s">
        <v>71</v>
      </c>
    </row>
    <row r="10" ht="22.5" customHeight="1">
      <c r="A10" s="7" t="s">
        <v>70</v>
      </c>
      <c r="B10" s="10" t="s">
        <v>102</v>
      </c>
      <c r="C10" s="14">
        <v>45775.0</v>
      </c>
      <c r="D10" s="7"/>
      <c r="E10" s="10" t="s">
        <v>71</v>
      </c>
    </row>
    <row r="11" ht="22.5" customHeight="1">
      <c r="A11" s="7" t="s">
        <v>58</v>
      </c>
      <c r="B11" s="10" t="s">
        <v>103</v>
      </c>
      <c r="C11" s="13">
        <v>43421.0</v>
      </c>
      <c r="D11" s="7"/>
      <c r="E11" s="10" t="s">
        <v>59</v>
      </c>
    </row>
    <row r="12" ht="22.5" customHeight="1">
      <c r="A12" s="7" t="s">
        <v>58</v>
      </c>
      <c r="B12" s="10" t="s">
        <v>104</v>
      </c>
      <c r="C12" s="13">
        <v>43495.0</v>
      </c>
      <c r="D12" s="7"/>
      <c r="E12" s="10" t="s">
        <v>59</v>
      </c>
    </row>
    <row r="13" ht="22.5" customHeight="1">
      <c r="A13" s="7" t="s">
        <v>58</v>
      </c>
      <c r="B13" s="10" t="s">
        <v>105</v>
      </c>
      <c r="C13" s="13">
        <v>43561.0</v>
      </c>
      <c r="D13" s="7"/>
      <c r="E13" s="10" t="s">
        <v>59</v>
      </c>
    </row>
    <row r="14" ht="22.5" customHeight="1">
      <c r="A14" s="7" t="s">
        <v>58</v>
      </c>
      <c r="B14" s="10" t="s">
        <v>100</v>
      </c>
      <c r="C14" s="13">
        <v>43653.0</v>
      </c>
      <c r="D14" s="7"/>
      <c r="E14" s="10" t="s">
        <v>59</v>
      </c>
    </row>
    <row r="15" ht="22.5" customHeight="1">
      <c r="A15" s="7" t="s">
        <v>58</v>
      </c>
      <c r="B15" s="10" t="s">
        <v>101</v>
      </c>
      <c r="C15" s="13">
        <v>43772.0</v>
      </c>
      <c r="D15" s="7"/>
      <c r="E15" s="10" t="s">
        <v>59</v>
      </c>
    </row>
    <row r="16" ht="22.5" customHeight="1">
      <c r="A16" s="7" t="s">
        <v>58</v>
      </c>
      <c r="B16" s="10" t="s">
        <v>102</v>
      </c>
      <c r="C16" s="13">
        <v>44923.0</v>
      </c>
      <c r="D16" s="7"/>
      <c r="E16" s="10" t="s">
        <v>59</v>
      </c>
    </row>
    <row r="17" ht="22.5" customHeight="1">
      <c r="A17" s="7" t="s">
        <v>58</v>
      </c>
      <c r="B17" s="10" t="s">
        <v>106</v>
      </c>
      <c r="C17" s="14">
        <v>45593.0</v>
      </c>
      <c r="D17" s="7"/>
      <c r="E17" s="10" t="s">
        <v>59</v>
      </c>
    </row>
    <row r="18" ht="22.5" customHeight="1">
      <c r="A18" s="7" t="s">
        <v>61</v>
      </c>
      <c r="B18" s="10" t="s">
        <v>104</v>
      </c>
      <c r="C18" s="13">
        <v>44870.0</v>
      </c>
      <c r="D18" s="7"/>
      <c r="E18" s="10" t="s">
        <v>62</v>
      </c>
    </row>
    <row r="19" ht="22.5" customHeight="1">
      <c r="A19" s="7" t="s">
        <v>61</v>
      </c>
      <c r="B19" s="10" t="s">
        <v>100</v>
      </c>
      <c r="C19" s="13">
        <v>45123.0</v>
      </c>
      <c r="D19" s="7"/>
      <c r="E19" s="10" t="s">
        <v>62</v>
      </c>
    </row>
    <row r="20" ht="22.5" customHeight="1">
      <c r="A20" s="7" t="s">
        <v>61</v>
      </c>
      <c r="B20" s="10" t="s">
        <v>101</v>
      </c>
      <c r="C20" s="13">
        <v>45277.0</v>
      </c>
      <c r="D20" s="7"/>
      <c r="E20" s="10" t="s">
        <v>62</v>
      </c>
    </row>
    <row r="21" ht="22.5" customHeight="1">
      <c r="A21" s="7" t="s">
        <v>61</v>
      </c>
      <c r="B21" s="10" t="s">
        <v>102</v>
      </c>
      <c r="C21" s="14">
        <v>45305.0</v>
      </c>
      <c r="D21" s="7"/>
      <c r="E21" s="10" t="s">
        <v>62</v>
      </c>
    </row>
    <row r="22" ht="22.5" customHeight="1">
      <c r="A22" s="6" t="s">
        <v>74</v>
      </c>
      <c r="B22" s="10" t="s">
        <v>103</v>
      </c>
      <c r="C22" s="13">
        <v>45350.0</v>
      </c>
      <c r="E22" s="10" t="s">
        <v>75</v>
      </c>
    </row>
    <row r="23" ht="22.5" customHeight="1">
      <c r="A23" s="6" t="s">
        <v>74</v>
      </c>
      <c r="B23" s="10" t="s">
        <v>104</v>
      </c>
      <c r="C23" s="13">
        <v>45384.0</v>
      </c>
      <c r="E23" s="10" t="s">
        <v>75</v>
      </c>
    </row>
    <row r="24" ht="22.5" customHeight="1">
      <c r="A24" s="6" t="s">
        <v>74</v>
      </c>
      <c r="B24" s="10" t="s">
        <v>105</v>
      </c>
      <c r="C24" s="13">
        <v>45600.0</v>
      </c>
      <c r="E24" s="10" t="s">
        <v>75</v>
      </c>
    </row>
    <row r="25" ht="22.5" customHeight="1">
      <c r="A25" s="6" t="s">
        <v>74</v>
      </c>
      <c r="B25" s="10" t="s">
        <v>101</v>
      </c>
      <c r="C25" s="13">
        <v>45748.0</v>
      </c>
      <c r="E25" s="10" t="s">
        <v>75</v>
      </c>
    </row>
    <row r="26" ht="22.5" customHeight="1">
      <c r="A26" s="7" t="s">
        <v>51</v>
      </c>
      <c r="B26" s="10" t="s">
        <v>102</v>
      </c>
      <c r="C26" s="14">
        <v>45396.0</v>
      </c>
      <c r="D26" s="7"/>
      <c r="E26" s="10" t="s">
        <v>52</v>
      </c>
    </row>
    <row r="27" ht="22.5" customHeight="1">
      <c r="A27" s="7" t="s">
        <v>88</v>
      </c>
      <c r="B27" s="10" t="s">
        <v>102</v>
      </c>
      <c r="C27" s="14">
        <v>45866.0</v>
      </c>
      <c r="D27" s="7"/>
      <c r="E27" s="10" t="s">
        <v>89</v>
      </c>
    </row>
    <row r="28" ht="22.5" customHeight="1">
      <c r="A28" s="7" t="s">
        <v>107</v>
      </c>
      <c r="B28" s="10" t="s">
        <v>102</v>
      </c>
      <c r="C28" s="14">
        <v>45702.0</v>
      </c>
      <c r="D28" s="7"/>
      <c r="E28" s="10" t="s">
        <v>108</v>
      </c>
    </row>
    <row r="29" ht="22.5" customHeight="1">
      <c r="A29" s="7" t="s">
        <v>49</v>
      </c>
      <c r="B29" s="10" t="s">
        <v>103</v>
      </c>
      <c r="C29" s="13">
        <v>45892.0</v>
      </c>
      <c r="D29" s="7"/>
      <c r="E29" s="10" t="s">
        <v>50</v>
      </c>
    </row>
    <row r="30" ht="22.5" customHeight="1">
      <c r="A30" s="7" t="s">
        <v>85</v>
      </c>
      <c r="B30" s="10" t="s">
        <v>103</v>
      </c>
      <c r="C30" s="13">
        <v>45892.0</v>
      </c>
      <c r="D30" s="7"/>
      <c r="E30" s="10" t="s">
        <v>86</v>
      </c>
    </row>
    <row r="31" ht="22.5" customHeight="1">
      <c r="A31" s="6" t="s">
        <v>92</v>
      </c>
      <c r="B31" s="10" t="s">
        <v>103</v>
      </c>
      <c r="C31" s="13">
        <v>45200.0</v>
      </c>
      <c r="E31" s="10" t="s">
        <v>93</v>
      </c>
    </row>
    <row r="32" ht="22.5" customHeight="1">
      <c r="A32" s="6" t="s">
        <v>92</v>
      </c>
      <c r="B32" s="10" t="s">
        <v>104</v>
      </c>
      <c r="C32" s="13">
        <v>45292.0</v>
      </c>
      <c r="E32" s="10" t="s">
        <v>93</v>
      </c>
    </row>
    <row r="33" ht="22.5" customHeight="1">
      <c r="A33" s="6" t="s">
        <v>92</v>
      </c>
      <c r="B33" s="10" t="s">
        <v>105</v>
      </c>
      <c r="C33" s="13">
        <v>45383.0</v>
      </c>
      <c r="E33" s="10" t="s">
        <v>93</v>
      </c>
    </row>
    <row r="34" ht="22.5" customHeight="1">
      <c r="A34" s="7" t="s">
        <v>92</v>
      </c>
      <c r="B34" s="10" t="s">
        <v>100</v>
      </c>
      <c r="C34" s="14">
        <v>45977.0</v>
      </c>
      <c r="D34" s="7"/>
      <c r="E34" s="10" t="s">
        <v>93</v>
      </c>
    </row>
    <row r="35" ht="22.5" customHeight="1">
      <c r="A35" s="6" t="s">
        <v>90</v>
      </c>
      <c r="B35" s="10" t="s">
        <v>103</v>
      </c>
      <c r="C35" s="13">
        <v>45292.0</v>
      </c>
      <c r="E35" s="10" t="s">
        <v>91</v>
      </c>
    </row>
    <row r="36" ht="22.5" customHeight="1">
      <c r="A36" s="7" t="s">
        <v>90</v>
      </c>
      <c r="B36" s="10" t="s">
        <v>104</v>
      </c>
      <c r="C36" s="14">
        <v>45977.0</v>
      </c>
      <c r="D36" s="7"/>
      <c r="E36" s="10" t="s">
        <v>91</v>
      </c>
    </row>
    <row r="37" ht="22.5" customHeight="1">
      <c r="A37" s="7" t="s">
        <v>94</v>
      </c>
      <c r="B37" s="10" t="s">
        <v>100</v>
      </c>
      <c r="C37" s="14">
        <v>45977.0</v>
      </c>
      <c r="D37" s="7"/>
      <c r="E37" s="10" t="s">
        <v>95</v>
      </c>
    </row>
    <row r="38" ht="22.5" customHeight="1">
      <c r="A38" s="7" t="s">
        <v>109</v>
      </c>
      <c r="B38" s="10" t="s">
        <v>100</v>
      </c>
      <c r="C38" s="14">
        <v>45983.0</v>
      </c>
      <c r="D38" s="7"/>
      <c r="E38" s="10" t="s">
        <v>110</v>
      </c>
    </row>
    <row r="39" ht="22.5" customHeight="1">
      <c r="A39" s="7" t="s">
        <v>111</v>
      </c>
      <c r="B39" s="10" t="s">
        <v>100</v>
      </c>
      <c r="C39" s="14">
        <v>45983.0</v>
      </c>
      <c r="D39" s="7"/>
      <c r="E39" s="10" t="s">
        <v>112</v>
      </c>
    </row>
    <row r="40" ht="22.5" customHeight="1">
      <c r="A40" s="7" t="s">
        <v>113</v>
      </c>
      <c r="B40" s="10" t="s">
        <v>105</v>
      </c>
      <c r="C40" s="14">
        <v>45997.0</v>
      </c>
      <c r="D40" s="7"/>
      <c r="E40" s="10" t="s">
        <v>114</v>
      </c>
    </row>
    <row r="41" ht="22.5" customHeight="1">
      <c r="A41" s="6" t="s">
        <v>49</v>
      </c>
      <c r="B41" s="10" t="s">
        <v>104</v>
      </c>
      <c r="C41" s="13">
        <v>46040.0</v>
      </c>
      <c r="E41" s="10" t="s">
        <v>50</v>
      </c>
    </row>
    <row r="42" ht="22.5" customHeight="1">
      <c r="A42" s="6" t="s">
        <v>85</v>
      </c>
      <c r="B42" s="10" t="s">
        <v>104</v>
      </c>
      <c r="C42" s="13">
        <v>46040.0</v>
      </c>
      <c r="E42" s="10" t="s">
        <v>86</v>
      </c>
    </row>
    <row r="43" ht="22.5" customHeight="1">
      <c r="A43" s="6" t="s">
        <v>92</v>
      </c>
      <c r="B43" s="10" t="s">
        <v>101</v>
      </c>
      <c r="C43" s="13">
        <v>46040.0</v>
      </c>
      <c r="E43" s="10" t="s">
        <v>93</v>
      </c>
    </row>
    <row r="44" ht="22.5" customHeight="1">
      <c r="A44" s="6" t="s">
        <v>94</v>
      </c>
      <c r="B44" s="10" t="s">
        <v>101</v>
      </c>
      <c r="C44" s="13">
        <v>46040.0</v>
      </c>
      <c r="E44" s="10" t="s">
        <v>95</v>
      </c>
    </row>
    <row r="45" ht="22.5" customHeight="1">
      <c r="A45" s="6" t="s">
        <v>90</v>
      </c>
      <c r="B45" s="10" t="s">
        <v>104</v>
      </c>
      <c r="C45" s="13">
        <v>45977.0</v>
      </c>
      <c r="E45" s="10" t="s">
        <v>91</v>
      </c>
    </row>
    <row r="46" ht="22.5" customHeight="1">
      <c r="A46" s="7" t="s">
        <v>90</v>
      </c>
      <c r="B46" s="10" t="s">
        <v>105</v>
      </c>
      <c r="C46" s="13">
        <v>46040.0</v>
      </c>
      <c r="D46" s="7"/>
      <c r="E46" s="10" t="s">
        <v>91</v>
      </c>
    </row>
    <row r="47" ht="22.5" customHeight="1">
      <c r="A47" s="6" t="s">
        <v>115</v>
      </c>
      <c r="B47" s="10" t="s">
        <v>116</v>
      </c>
      <c r="C47" s="13">
        <v>45969.0</v>
      </c>
      <c r="E47" s="10" t="s">
        <v>117</v>
      </c>
    </row>
    <row r="48" ht="22.5" customHeight="1">
      <c r="A48" s="6" t="s">
        <v>118</v>
      </c>
      <c r="B48" s="10" t="s">
        <v>116</v>
      </c>
      <c r="C48" s="13">
        <v>45969.0</v>
      </c>
      <c r="E48" s="10" t="s">
        <v>119</v>
      </c>
    </row>
    <row r="49" ht="22.5" customHeight="1">
      <c r="A49" s="7" t="s">
        <v>120</v>
      </c>
      <c r="B49" s="10" t="s">
        <v>116</v>
      </c>
      <c r="C49" s="14">
        <v>45977.0</v>
      </c>
      <c r="D49" s="7"/>
      <c r="E49" s="10" t="s">
        <v>121</v>
      </c>
    </row>
    <row r="50" ht="22.5" customHeight="1">
      <c r="A50" s="6" t="s">
        <v>122</v>
      </c>
      <c r="B50" s="10" t="s">
        <v>116</v>
      </c>
      <c r="C50" s="14">
        <v>45976.0</v>
      </c>
      <c r="E50" s="10" t="s">
        <v>123</v>
      </c>
    </row>
    <row r="51" ht="22.5" customHeight="1">
      <c r="A51" s="6" t="s">
        <v>124</v>
      </c>
      <c r="B51" s="10" t="s">
        <v>116</v>
      </c>
      <c r="C51" s="14">
        <v>45976.0</v>
      </c>
      <c r="E51" s="10" t="s">
        <v>125</v>
      </c>
    </row>
    <row r="52" ht="22.5" customHeight="1">
      <c r="A52" s="6" t="s">
        <v>126</v>
      </c>
      <c r="B52" s="10" t="s">
        <v>116</v>
      </c>
      <c r="C52" s="14">
        <v>45997.0</v>
      </c>
      <c r="E52" s="10" t="s">
        <v>127</v>
      </c>
    </row>
    <row r="53" ht="22.5" customHeight="1">
      <c r="A53" s="6" t="s">
        <v>128</v>
      </c>
      <c r="B53" s="10" t="s">
        <v>116</v>
      </c>
      <c r="C53" s="14">
        <v>46005.0</v>
      </c>
      <c r="E53" s="10" t="s">
        <v>129</v>
      </c>
    </row>
    <row r="54" ht="22.5" customHeight="1">
      <c r="A54" s="6" t="s">
        <v>130</v>
      </c>
      <c r="B54" s="10" t="s">
        <v>116</v>
      </c>
      <c r="C54" s="14">
        <v>46018.0</v>
      </c>
      <c r="E54" s="10" t="s">
        <v>131</v>
      </c>
    </row>
    <row r="55" ht="22.5" customHeight="1">
      <c r="A55" s="6" t="s">
        <v>132</v>
      </c>
      <c r="B55" s="10" t="s">
        <v>116</v>
      </c>
      <c r="C55" s="14">
        <v>46018.0</v>
      </c>
      <c r="E55" s="10" t="s">
        <v>133</v>
      </c>
    </row>
    <row r="56" ht="22.5" customHeight="1">
      <c r="A56" s="6" t="s">
        <v>134</v>
      </c>
      <c r="B56" s="10" t="s">
        <v>116</v>
      </c>
      <c r="C56" s="14">
        <v>46025.0</v>
      </c>
      <c r="E56" s="10" t="s">
        <v>135</v>
      </c>
    </row>
    <row r="57" ht="22.5" customHeight="1">
      <c r="A57" s="6" t="s">
        <v>136</v>
      </c>
      <c r="B57" s="10" t="s">
        <v>116</v>
      </c>
      <c r="C57" s="14">
        <v>46025.0</v>
      </c>
      <c r="E57" s="10" t="s">
        <v>137</v>
      </c>
    </row>
    <row r="58" ht="22.5" customHeight="1">
      <c r="A58" s="6" t="s">
        <v>138</v>
      </c>
      <c r="B58" s="10" t="s">
        <v>103</v>
      </c>
      <c r="C58" s="14">
        <v>46004.0</v>
      </c>
      <c r="E58" s="10" t="s">
        <v>139</v>
      </c>
    </row>
    <row r="59" ht="22.5" customHeight="1">
      <c r="A59" s="6" t="s">
        <v>140</v>
      </c>
      <c r="B59" s="10" t="s">
        <v>103</v>
      </c>
      <c r="C59" s="14">
        <v>46004.0</v>
      </c>
      <c r="E59" s="10" t="s">
        <v>141</v>
      </c>
    </row>
    <row r="60" ht="22.5" customHeight="1">
      <c r="A60" s="6" t="s">
        <v>142</v>
      </c>
      <c r="B60" s="10" t="s">
        <v>101</v>
      </c>
      <c r="C60" s="13">
        <v>46039.0</v>
      </c>
      <c r="E60" s="10" t="s">
        <v>143</v>
      </c>
    </row>
    <row r="61" ht="22.5" customHeight="1">
      <c r="A61" s="6" t="s">
        <v>144</v>
      </c>
      <c r="B61" s="10" t="s">
        <v>100</v>
      </c>
      <c r="C61" s="13">
        <v>46039.0</v>
      </c>
      <c r="E61" s="10" t="s">
        <v>145</v>
      </c>
    </row>
    <row r="62" ht="22.5" customHeight="1">
      <c r="A62" s="6" t="s">
        <v>146</v>
      </c>
      <c r="B62" s="10" t="s">
        <v>101</v>
      </c>
      <c r="C62" s="13">
        <v>46039.0</v>
      </c>
      <c r="E62" s="10" t="s">
        <v>147</v>
      </c>
    </row>
    <row r="63" ht="22.5" customHeight="1">
      <c r="A63" s="6" t="s">
        <v>148</v>
      </c>
      <c r="B63" s="10" t="s">
        <v>116</v>
      </c>
      <c r="C63" s="13">
        <v>46039.0</v>
      </c>
      <c r="E63" s="10" t="s">
        <v>149</v>
      </c>
    </row>
    <row r="64" ht="22.5" customHeight="1">
      <c r="A64" s="6" t="s">
        <v>150</v>
      </c>
      <c r="B64" s="10" t="s">
        <v>116</v>
      </c>
      <c r="C64" s="13">
        <v>46039.0</v>
      </c>
      <c r="E64" s="10" t="s">
        <v>151</v>
      </c>
    </row>
    <row r="65" ht="22.5" customHeight="1">
      <c r="A65" s="6" t="s">
        <v>152</v>
      </c>
      <c r="B65" s="10" t="s">
        <v>116</v>
      </c>
      <c r="C65" s="13">
        <v>46039.0</v>
      </c>
      <c r="E65" s="10" t="s">
        <v>153</v>
      </c>
    </row>
    <row r="66" ht="22.5" customHeight="1">
      <c r="A66" s="6" t="s">
        <v>154</v>
      </c>
      <c r="B66" s="10" t="s">
        <v>103</v>
      </c>
      <c r="C66" s="13">
        <v>46039.0</v>
      </c>
      <c r="E66" s="10" t="s">
        <v>155</v>
      </c>
    </row>
    <row r="67" ht="22.5" customHeight="1">
      <c r="A67" s="6" t="s">
        <v>96</v>
      </c>
      <c r="B67" s="8"/>
      <c r="C67" s="9"/>
      <c r="E67" s="8"/>
    </row>
    <row r="68" ht="22.5" customHeight="1">
      <c r="A68" s="6" t="s">
        <v>96</v>
      </c>
      <c r="B68" s="8"/>
      <c r="C68" s="9"/>
      <c r="E68" s="8"/>
    </row>
    <row r="69" ht="22.5" customHeight="1">
      <c r="A69" s="6" t="s">
        <v>96</v>
      </c>
      <c r="B69" s="8"/>
      <c r="C69" s="9"/>
      <c r="E69" s="8"/>
    </row>
    <row r="70" ht="22.5" customHeight="1">
      <c r="A70" s="7" t="s">
        <v>96</v>
      </c>
      <c r="B70" s="8"/>
      <c r="C70" s="9"/>
      <c r="D70" s="7"/>
      <c r="E70" s="8"/>
    </row>
    <row r="71" ht="22.5" customHeight="1">
      <c r="A71" s="7" t="s">
        <v>96</v>
      </c>
      <c r="B71" s="8"/>
      <c r="C71" s="9"/>
      <c r="D71" s="7"/>
      <c r="E71" s="8"/>
    </row>
    <row r="72" ht="22.5" customHeight="1">
      <c r="A72" s="7" t="s">
        <v>96</v>
      </c>
      <c r="B72" s="8"/>
      <c r="C72" s="9"/>
      <c r="D72" s="7"/>
      <c r="E72" s="8"/>
    </row>
    <row r="73" ht="22.5" customHeight="1">
      <c r="A73" s="7" t="s">
        <v>96</v>
      </c>
      <c r="B73" s="8"/>
      <c r="C73" s="9"/>
      <c r="D73" s="7"/>
      <c r="E73" s="8"/>
    </row>
    <row r="74" ht="22.5" customHeight="1">
      <c r="A74" s="7" t="s">
        <v>96</v>
      </c>
      <c r="B74" s="8"/>
      <c r="C74" s="9"/>
      <c r="D74" s="7"/>
      <c r="E74" s="8"/>
    </row>
    <row r="75" ht="22.5" customHeight="1">
      <c r="A75" s="7" t="s">
        <v>96</v>
      </c>
      <c r="B75" s="8"/>
      <c r="C75" s="9"/>
      <c r="D75" s="7"/>
      <c r="E75" s="8"/>
    </row>
    <row r="76" ht="22.5" customHeight="1">
      <c r="A76" s="7" t="s">
        <v>96</v>
      </c>
      <c r="B76" s="8"/>
      <c r="C76" s="9"/>
      <c r="D76" s="7"/>
      <c r="E76" s="8"/>
    </row>
    <row r="77" ht="22.5" customHeight="1">
      <c r="A77" s="7" t="s">
        <v>96</v>
      </c>
      <c r="B77" s="8"/>
      <c r="C77" s="9"/>
      <c r="D77" s="7"/>
      <c r="E77" s="8"/>
    </row>
    <row r="78" ht="22.5" customHeight="1">
      <c r="A78" s="7" t="s">
        <v>96</v>
      </c>
      <c r="B78" s="8"/>
      <c r="C78" s="9"/>
      <c r="D78" s="7"/>
      <c r="E78" s="8"/>
    </row>
    <row r="79" ht="22.5" customHeight="1">
      <c r="A79" s="7" t="s">
        <v>96</v>
      </c>
      <c r="B79" s="8"/>
      <c r="C79" s="9"/>
      <c r="D79" s="7"/>
      <c r="E79" s="8"/>
    </row>
    <row r="80" ht="22.5" customHeight="1">
      <c r="A80" s="7" t="s">
        <v>96</v>
      </c>
      <c r="B80" s="8"/>
      <c r="C80" s="9"/>
      <c r="D80" s="7"/>
      <c r="E80" s="8"/>
    </row>
    <row r="81" ht="22.5" customHeight="1">
      <c r="A81" s="7" t="s">
        <v>96</v>
      </c>
      <c r="B81" s="8"/>
      <c r="C81" s="9"/>
      <c r="D81" s="7"/>
      <c r="E81" s="8"/>
    </row>
    <row r="82" ht="22.5" customHeight="1">
      <c r="A82" s="7" t="s">
        <v>96</v>
      </c>
      <c r="B82" s="8"/>
      <c r="C82" s="9"/>
      <c r="D82" s="7"/>
      <c r="E82" s="8"/>
    </row>
    <row r="83" ht="22.5" customHeight="1">
      <c r="A83" s="7" t="s">
        <v>96</v>
      </c>
      <c r="B83" s="8"/>
      <c r="C83" s="9"/>
      <c r="D83" s="7"/>
      <c r="E83" s="8"/>
    </row>
    <row r="84" ht="22.5" customHeight="1">
      <c r="A84" s="7" t="s">
        <v>96</v>
      </c>
      <c r="B84" s="8"/>
      <c r="C84" s="9"/>
      <c r="D84" s="7"/>
      <c r="E84" s="8"/>
    </row>
    <row r="85" ht="22.5" customHeight="1">
      <c r="A85" s="7" t="s">
        <v>96</v>
      </c>
      <c r="B85" s="8"/>
      <c r="C85" s="9"/>
      <c r="D85" s="7"/>
      <c r="E85" s="8"/>
    </row>
    <row r="86" ht="22.5" customHeight="1">
      <c r="A86" s="7" t="s">
        <v>96</v>
      </c>
      <c r="B86" s="8"/>
      <c r="C86" s="9"/>
      <c r="D86" s="7"/>
      <c r="E86" s="8"/>
    </row>
    <row r="87" ht="22.5" customHeight="1">
      <c r="A87" s="7" t="s">
        <v>96</v>
      </c>
      <c r="B87" s="8"/>
      <c r="C87" s="9"/>
      <c r="D87" s="7"/>
      <c r="E87" s="8"/>
    </row>
    <row r="88" ht="22.5" customHeight="1">
      <c r="A88" s="7" t="s">
        <v>96</v>
      </c>
      <c r="B88" s="8"/>
      <c r="C88" s="9"/>
      <c r="D88" s="7"/>
      <c r="E88" s="8"/>
    </row>
    <row r="89" ht="22.5" customHeight="1">
      <c r="A89" s="7" t="s">
        <v>96</v>
      </c>
      <c r="B89" s="8"/>
      <c r="C89" s="9"/>
      <c r="D89" s="7"/>
      <c r="E89" s="8"/>
    </row>
    <row r="90" ht="22.5" customHeight="1">
      <c r="A90" s="7" t="s">
        <v>96</v>
      </c>
      <c r="B90" s="8"/>
      <c r="C90" s="9"/>
      <c r="D90" s="7"/>
      <c r="E90" s="8"/>
    </row>
    <row r="91" ht="22.5" customHeight="1">
      <c r="A91" s="7" t="s">
        <v>96</v>
      </c>
      <c r="B91" s="8"/>
      <c r="C91" s="9"/>
      <c r="D91" s="7"/>
      <c r="E91" s="8"/>
    </row>
    <row r="92" ht="22.5" customHeight="1">
      <c r="A92" s="7" t="s">
        <v>96</v>
      </c>
      <c r="B92" s="8"/>
      <c r="C92" s="9"/>
      <c r="D92" s="7"/>
      <c r="E92" s="8"/>
    </row>
    <row r="93" ht="22.5" customHeight="1">
      <c r="A93" s="7" t="s">
        <v>96</v>
      </c>
      <c r="B93" s="8"/>
      <c r="C93" s="9"/>
      <c r="D93" s="7"/>
      <c r="E93" s="8"/>
    </row>
    <row r="94" ht="22.5" customHeight="1">
      <c r="A94" s="7" t="s">
        <v>96</v>
      </c>
      <c r="B94" s="8"/>
      <c r="C94" s="9"/>
      <c r="D94" s="7"/>
      <c r="E94" s="8"/>
    </row>
    <row r="95" ht="22.5" customHeight="1">
      <c r="A95" s="7" t="s">
        <v>96</v>
      </c>
      <c r="B95" s="8"/>
      <c r="C95" s="9"/>
      <c r="D95" s="7"/>
      <c r="E95" s="8"/>
    </row>
  </sheetData>
  <dataValidations>
    <dataValidation type="custom" allowBlank="1" showDropDown="1" sqref="C2:C95">
      <formula1>OR(NOT(ISERROR(DATEVALUE(C2))), AND(ISNUMBER(C2), LEFT(CELL("format", C2))="D"))</formula1>
    </dataValidation>
    <dataValidation type="list" allowBlank="1" sqref="B2:B95">
      <formula1>"White,Yellow,Green,Blue,Brown,Red,1st Poom/Dan,2nd Poom/Dan"</formula1>
    </dataValidation>
    <dataValidation type="list" allowBlank="1" sqref="E2:E95">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2.63"/>
    <col customWidth="1" min="3" max="6" width="16.75"/>
    <col customWidth="1" min="7" max="7" width="27.5"/>
    <col customWidth="1" min="8" max="8" width="22.63"/>
    <col customWidth="1" min="9" max="9" width="12.0"/>
  </cols>
  <sheetData>
    <row r="1" ht="22.5" customHeight="1">
      <c r="A1" s="1" t="s">
        <v>156</v>
      </c>
      <c r="B1" s="1" t="s">
        <v>157</v>
      </c>
      <c r="C1" s="1" t="s">
        <v>158</v>
      </c>
      <c r="D1" s="1" t="s">
        <v>159</v>
      </c>
      <c r="E1" s="1" t="s">
        <v>160</v>
      </c>
      <c r="F1" s="1" t="s">
        <v>161</v>
      </c>
      <c r="G1" s="1" t="s">
        <v>162</v>
      </c>
      <c r="H1" s="1" t="s">
        <v>43</v>
      </c>
      <c r="I1" s="2" t="s">
        <v>163</v>
      </c>
    </row>
    <row r="2" ht="22.5" customHeight="1">
      <c r="A2" s="11" t="s">
        <v>64</v>
      </c>
      <c r="B2" s="10" t="s">
        <v>164</v>
      </c>
      <c r="C2" s="15"/>
      <c r="D2" s="15"/>
      <c r="E2" s="16" t="s">
        <v>165</v>
      </c>
      <c r="F2" s="16" t="s">
        <v>165</v>
      </c>
      <c r="G2" s="11" t="s">
        <v>166</v>
      </c>
      <c r="I2" s="10" t="s">
        <v>167</v>
      </c>
    </row>
    <row r="3" ht="22.5" customHeight="1">
      <c r="A3" s="11" t="s">
        <v>66</v>
      </c>
      <c r="B3" s="10" t="s">
        <v>164</v>
      </c>
      <c r="C3" s="15"/>
      <c r="D3" s="15"/>
      <c r="E3" s="16" t="s">
        <v>168</v>
      </c>
      <c r="F3" s="16" t="s">
        <v>168</v>
      </c>
      <c r="G3" s="11" t="s">
        <v>166</v>
      </c>
      <c r="I3" s="10" t="s">
        <v>167</v>
      </c>
    </row>
    <row r="4" ht="22.5" customHeight="1">
      <c r="A4" s="11" t="s">
        <v>67</v>
      </c>
      <c r="B4" s="10" t="s">
        <v>164</v>
      </c>
      <c r="C4" s="15"/>
      <c r="D4" s="15"/>
      <c r="E4" s="16" t="s">
        <v>169</v>
      </c>
      <c r="F4" s="16" t="s">
        <v>169</v>
      </c>
      <c r="G4" s="11" t="s">
        <v>166</v>
      </c>
      <c r="I4" s="10" t="s">
        <v>167</v>
      </c>
    </row>
    <row r="5" ht="22.5" customHeight="1">
      <c r="A5" s="11" t="s">
        <v>69</v>
      </c>
      <c r="B5" s="10" t="s">
        <v>164</v>
      </c>
      <c r="C5" s="15"/>
      <c r="D5" s="15"/>
      <c r="E5" s="16" t="s">
        <v>170</v>
      </c>
      <c r="F5" s="16" t="s">
        <v>170</v>
      </c>
      <c r="G5" s="11" t="s">
        <v>166</v>
      </c>
      <c r="I5" s="10" t="s">
        <v>167</v>
      </c>
    </row>
    <row r="6" ht="22.5" customHeight="1">
      <c r="A6" s="11" t="s">
        <v>65</v>
      </c>
      <c r="B6" s="10" t="s">
        <v>164</v>
      </c>
      <c r="C6" s="15"/>
      <c r="D6" s="15"/>
      <c r="E6" s="16" t="s">
        <v>171</v>
      </c>
      <c r="F6" s="16" t="s">
        <v>172</v>
      </c>
      <c r="G6" s="11" t="s">
        <v>166</v>
      </c>
      <c r="I6" s="10" t="s">
        <v>167</v>
      </c>
    </row>
    <row r="7" ht="22.5" customHeight="1">
      <c r="A7" s="11" t="s">
        <v>63</v>
      </c>
      <c r="B7" s="10" t="s">
        <v>164</v>
      </c>
      <c r="C7" s="15"/>
      <c r="D7" s="15"/>
      <c r="E7" s="16" t="s">
        <v>173</v>
      </c>
      <c r="F7" s="16" t="s">
        <v>173</v>
      </c>
      <c r="G7" s="11" t="s">
        <v>174</v>
      </c>
      <c r="I7" s="10" t="s">
        <v>167</v>
      </c>
    </row>
    <row r="8" ht="22.5" customHeight="1">
      <c r="A8" s="11" t="s">
        <v>72</v>
      </c>
      <c r="B8" s="10" t="s">
        <v>164</v>
      </c>
      <c r="C8" s="15"/>
      <c r="D8" s="15"/>
      <c r="E8" s="16" t="s">
        <v>175</v>
      </c>
      <c r="F8" s="16" t="s">
        <v>175</v>
      </c>
      <c r="G8" s="11" t="s">
        <v>176</v>
      </c>
      <c r="I8" s="10" t="s">
        <v>167</v>
      </c>
    </row>
    <row r="9" ht="22.5" customHeight="1">
      <c r="A9" s="11" t="s">
        <v>68</v>
      </c>
      <c r="B9" s="10" t="s">
        <v>164</v>
      </c>
      <c r="C9" s="15"/>
      <c r="D9" s="15"/>
      <c r="E9" s="16" t="s">
        <v>177</v>
      </c>
      <c r="F9" s="16" t="s">
        <v>178</v>
      </c>
      <c r="G9" s="11" t="s">
        <v>166</v>
      </c>
      <c r="I9" s="10" t="s">
        <v>167</v>
      </c>
    </row>
    <row r="10" ht="22.5" customHeight="1">
      <c r="A10" s="11" t="s">
        <v>76</v>
      </c>
      <c r="B10" s="10" t="s">
        <v>164</v>
      </c>
      <c r="C10" s="15"/>
      <c r="D10" s="15"/>
      <c r="E10" s="16" t="s">
        <v>179</v>
      </c>
      <c r="F10" s="16" t="s">
        <v>179</v>
      </c>
      <c r="G10" s="11" t="s">
        <v>174</v>
      </c>
      <c r="I10" s="10" t="s">
        <v>167</v>
      </c>
    </row>
    <row r="11" ht="22.5" customHeight="1">
      <c r="A11" s="11" t="s">
        <v>79</v>
      </c>
      <c r="B11" s="10" t="s">
        <v>164</v>
      </c>
      <c r="C11" s="15"/>
      <c r="D11" s="15"/>
      <c r="E11" s="16" t="s">
        <v>180</v>
      </c>
      <c r="F11" s="16" t="s">
        <v>180</v>
      </c>
      <c r="G11" s="11" t="s">
        <v>174</v>
      </c>
      <c r="I11" s="10" t="s">
        <v>167</v>
      </c>
    </row>
    <row r="12" ht="22.5" customHeight="1">
      <c r="A12" s="11" t="s">
        <v>81</v>
      </c>
      <c r="B12" s="10" t="s">
        <v>164</v>
      </c>
      <c r="C12" s="15"/>
      <c r="D12" s="15"/>
      <c r="E12" s="16" t="s">
        <v>181</v>
      </c>
      <c r="F12" s="16" t="s">
        <v>181</v>
      </c>
      <c r="G12" s="11" t="s">
        <v>174</v>
      </c>
      <c r="I12" s="10" t="s">
        <v>167</v>
      </c>
    </row>
    <row r="13" ht="22.5" customHeight="1">
      <c r="A13" s="11" t="s">
        <v>45</v>
      </c>
      <c r="B13" s="10" t="s">
        <v>164</v>
      </c>
      <c r="C13" s="16" t="s">
        <v>182</v>
      </c>
      <c r="D13" s="16" t="s">
        <v>183</v>
      </c>
      <c r="E13" s="16" t="s">
        <v>184</v>
      </c>
      <c r="F13" s="16" t="s">
        <v>185</v>
      </c>
      <c r="G13" s="11" t="s">
        <v>166</v>
      </c>
      <c r="H13" s="7"/>
      <c r="I13" s="10" t="s">
        <v>167</v>
      </c>
    </row>
    <row r="14" ht="22.5" customHeight="1">
      <c r="A14" s="11" t="s">
        <v>54</v>
      </c>
      <c r="B14" s="10" t="s">
        <v>164</v>
      </c>
      <c r="C14" s="16" t="s">
        <v>186</v>
      </c>
      <c r="D14" s="16" t="s">
        <v>187</v>
      </c>
      <c r="E14" s="16" t="s">
        <v>188</v>
      </c>
      <c r="F14" s="16" t="s">
        <v>189</v>
      </c>
      <c r="G14" s="11" t="s">
        <v>190</v>
      </c>
      <c r="H14" s="7"/>
      <c r="I14" s="10" t="s">
        <v>167</v>
      </c>
    </row>
    <row r="15" ht="22.5" customHeight="1">
      <c r="A15" s="11" t="s">
        <v>82</v>
      </c>
      <c r="B15" s="10" t="s">
        <v>164</v>
      </c>
      <c r="C15" s="16" t="s">
        <v>191</v>
      </c>
      <c r="D15" s="16" t="s">
        <v>192</v>
      </c>
      <c r="E15" s="16" t="s">
        <v>193</v>
      </c>
      <c r="F15" s="16" t="s">
        <v>194</v>
      </c>
      <c r="G15" s="11" t="s">
        <v>166</v>
      </c>
      <c r="H15" s="7"/>
      <c r="I15" s="10" t="s">
        <v>167</v>
      </c>
    </row>
    <row r="16" ht="22.5" customHeight="1">
      <c r="A16" s="11" t="s">
        <v>195</v>
      </c>
      <c r="B16" s="10" t="s">
        <v>164</v>
      </c>
      <c r="C16" s="15"/>
      <c r="D16" s="15"/>
      <c r="E16" s="15"/>
      <c r="F16" s="15"/>
      <c r="G16" s="11" t="s">
        <v>166</v>
      </c>
      <c r="H16" s="11" t="s">
        <v>196</v>
      </c>
      <c r="I16" s="10" t="s">
        <v>197</v>
      </c>
    </row>
    <row r="17" ht="22.5" customHeight="1">
      <c r="A17" s="7"/>
      <c r="B17" s="8"/>
      <c r="C17" s="15"/>
      <c r="D17" s="15"/>
      <c r="E17" s="15"/>
      <c r="F17" s="15"/>
      <c r="G17" s="7"/>
      <c r="H17" s="7"/>
      <c r="I17" s="8"/>
    </row>
    <row r="18" ht="22.5" customHeight="1">
      <c r="A18" s="7"/>
      <c r="B18" s="8"/>
      <c r="C18" s="15"/>
      <c r="D18" s="15"/>
      <c r="E18" s="15"/>
      <c r="F18" s="15"/>
      <c r="G18" s="7"/>
      <c r="H18" s="7"/>
      <c r="I18" s="8"/>
    </row>
    <row r="19" ht="22.5" customHeight="1">
      <c r="A19" s="7"/>
      <c r="B19" s="8"/>
      <c r="C19" s="15"/>
      <c r="D19" s="15"/>
      <c r="E19" s="15"/>
      <c r="F19" s="15"/>
      <c r="G19" s="7"/>
      <c r="H19" s="7"/>
      <c r="I19" s="8"/>
    </row>
    <row r="20" ht="22.5" customHeight="1">
      <c r="A20" s="7"/>
      <c r="B20" s="8"/>
      <c r="C20" s="15"/>
      <c r="D20" s="15"/>
      <c r="E20" s="15"/>
      <c r="F20" s="15"/>
      <c r="G20" s="7"/>
      <c r="H20" s="7"/>
      <c r="I20" s="8"/>
    </row>
    <row r="21" ht="22.5" customHeight="1">
      <c r="A21" s="7"/>
      <c r="B21" s="8"/>
      <c r="C21" s="15"/>
      <c r="D21" s="15"/>
      <c r="E21" s="15"/>
      <c r="F21" s="15"/>
      <c r="G21" s="7"/>
      <c r="H21" s="7"/>
      <c r="I21" s="8"/>
    </row>
    <row r="22" ht="22.5" customHeight="1">
      <c r="A22" s="7"/>
      <c r="B22" s="8"/>
      <c r="C22" s="15"/>
      <c r="D22" s="15"/>
      <c r="E22" s="15"/>
      <c r="F22" s="15"/>
      <c r="G22" s="7"/>
      <c r="H22" s="7"/>
      <c r="I22" s="8"/>
    </row>
    <row r="23" ht="22.5" customHeight="1">
      <c r="A23" s="7"/>
      <c r="B23" s="8"/>
      <c r="C23" s="15"/>
      <c r="D23" s="15"/>
      <c r="E23" s="15"/>
      <c r="F23" s="15"/>
      <c r="G23" s="7"/>
      <c r="H23" s="7"/>
      <c r="I23" s="8"/>
    </row>
    <row r="24" ht="22.5" customHeight="1">
      <c r="A24" s="7"/>
      <c r="B24" s="8"/>
      <c r="C24" s="15"/>
      <c r="D24" s="15"/>
      <c r="E24" s="15"/>
      <c r="F24" s="15"/>
      <c r="G24" s="7"/>
      <c r="H24" s="7"/>
      <c r="I24" s="8"/>
    </row>
    <row r="25" ht="22.5" customHeight="1">
      <c r="A25" s="7"/>
      <c r="B25" s="8"/>
      <c r="C25" s="15"/>
      <c r="D25" s="15"/>
      <c r="E25" s="15"/>
      <c r="F25" s="15"/>
      <c r="G25" s="7"/>
      <c r="H25" s="7"/>
      <c r="I25" s="8"/>
    </row>
    <row r="26" ht="22.5" customHeight="1">
      <c r="A26" s="7"/>
      <c r="B26" s="8"/>
      <c r="C26" s="15"/>
      <c r="D26" s="15"/>
      <c r="E26" s="15"/>
      <c r="F26" s="15"/>
      <c r="G26" s="7"/>
      <c r="H26" s="7"/>
      <c r="I26" s="8"/>
    </row>
    <row r="27" ht="22.5" customHeight="1">
      <c r="A27" s="7"/>
      <c r="B27" s="8"/>
      <c r="C27" s="15"/>
      <c r="D27" s="15"/>
      <c r="E27" s="15"/>
      <c r="F27" s="15"/>
      <c r="G27" s="7"/>
      <c r="H27" s="7"/>
      <c r="I27" s="8"/>
    </row>
    <row r="28" ht="22.5" customHeight="1">
      <c r="A28" s="7"/>
      <c r="B28" s="8"/>
      <c r="C28" s="15"/>
      <c r="D28" s="15"/>
      <c r="E28" s="15"/>
      <c r="F28" s="15"/>
      <c r="G28" s="7"/>
      <c r="H28" s="7"/>
      <c r="I28" s="8"/>
    </row>
    <row r="29" ht="22.5" customHeight="1">
      <c r="A29" s="7"/>
      <c r="B29" s="8"/>
      <c r="C29" s="15"/>
      <c r="D29" s="15"/>
      <c r="E29" s="15"/>
      <c r="F29" s="15"/>
      <c r="G29" s="7"/>
      <c r="H29" s="7"/>
      <c r="I29" s="8"/>
    </row>
    <row r="30" ht="22.5" customHeight="1">
      <c r="A30" s="7"/>
      <c r="B30" s="8"/>
      <c r="C30" s="15"/>
      <c r="D30" s="15"/>
      <c r="E30" s="15"/>
      <c r="F30" s="15"/>
      <c r="G30" s="7"/>
      <c r="H30" s="7"/>
      <c r="I30" s="8"/>
    </row>
  </sheetData>
  <dataValidations>
    <dataValidation type="list" allowBlank="1" sqref="B2:B30">
      <formula1>"Belt Testing,Holiday,Competition,Workshop,Seminar"</formula1>
    </dataValidation>
    <dataValidation type="list" allowBlank="1" sqref="I2:I30">
      <formula1>"Open,Closed"</formula1>
    </dataValidation>
    <dataValidation allowBlank="1" showDropDown="1" sqref="C2:F30"/>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2.63"/>
    <col customWidth="1" min="3" max="3" width="16.75"/>
    <col customWidth="1" min="4" max="4" width="14.13"/>
    <col customWidth="1" min="5" max="6" width="22.63"/>
  </cols>
  <sheetData>
    <row r="1" ht="22.5" customHeight="1">
      <c r="A1" s="1" t="s">
        <v>0</v>
      </c>
      <c r="B1" s="1" t="s">
        <v>36</v>
      </c>
      <c r="C1" s="1" t="s">
        <v>38</v>
      </c>
      <c r="D1" s="1" t="s">
        <v>163</v>
      </c>
    </row>
    <row r="2" ht="22.5" customHeight="1">
      <c r="A2" s="7" t="str">
        <f t="array" ref="A2:A660">IF(B2:B660="", "", IFERROR(XLOOKUP(B2:B660, Students!C:C, Students!A:A), "Not Found"))</f>
        <v>STU-F-001</v>
      </c>
      <c r="B2" s="10" t="s">
        <v>44</v>
      </c>
      <c r="C2" s="13">
        <v>45927.0</v>
      </c>
      <c r="D2" s="10" t="s">
        <v>198</v>
      </c>
    </row>
    <row r="3" ht="22.5" customHeight="1">
      <c r="A3" s="7" t="s">
        <v>53</v>
      </c>
      <c r="B3" s="10" t="s">
        <v>44</v>
      </c>
      <c r="C3" s="13">
        <v>45928.0</v>
      </c>
      <c r="D3" s="10" t="s">
        <v>198</v>
      </c>
    </row>
    <row r="4" ht="22.5" customHeight="1">
      <c r="A4" s="7" t="s">
        <v>53</v>
      </c>
      <c r="B4" s="10" t="s">
        <v>44</v>
      </c>
      <c r="C4" s="13">
        <v>45934.0</v>
      </c>
      <c r="D4" s="10" t="s">
        <v>198</v>
      </c>
    </row>
    <row r="5" ht="22.5" customHeight="1">
      <c r="A5" s="7" t="s">
        <v>53</v>
      </c>
      <c r="B5" s="10" t="s">
        <v>44</v>
      </c>
      <c r="C5" s="13">
        <v>45935.0</v>
      </c>
      <c r="D5" s="10" t="s">
        <v>199</v>
      </c>
    </row>
    <row r="6" ht="22.5" customHeight="1">
      <c r="A6" s="7" t="s">
        <v>53</v>
      </c>
      <c r="B6" s="10" t="s">
        <v>44</v>
      </c>
      <c r="C6" s="13">
        <v>45942.0</v>
      </c>
      <c r="D6" s="10" t="s">
        <v>198</v>
      </c>
    </row>
    <row r="7" ht="22.5" customHeight="1">
      <c r="A7" s="7" t="s">
        <v>53</v>
      </c>
      <c r="B7" s="10" t="s">
        <v>44</v>
      </c>
      <c r="C7" s="13">
        <v>45948.0</v>
      </c>
      <c r="D7" s="10" t="s">
        <v>199</v>
      </c>
    </row>
    <row r="8" ht="22.5" customHeight="1">
      <c r="A8" s="7" t="s">
        <v>53</v>
      </c>
      <c r="B8" s="10" t="s">
        <v>44</v>
      </c>
      <c r="C8" s="13">
        <v>45949.0</v>
      </c>
      <c r="D8" s="10" t="s">
        <v>199</v>
      </c>
    </row>
    <row r="9" ht="22.5" customHeight="1">
      <c r="A9" s="7" t="s">
        <v>53</v>
      </c>
      <c r="B9" s="10" t="s">
        <v>44</v>
      </c>
      <c r="C9" s="13">
        <v>45955.0</v>
      </c>
      <c r="D9" s="10" t="s">
        <v>199</v>
      </c>
    </row>
    <row r="10" ht="22.5" customHeight="1">
      <c r="A10" s="7" t="s">
        <v>53</v>
      </c>
      <c r="B10" s="10" t="s">
        <v>44</v>
      </c>
      <c r="C10" s="13">
        <v>45956.0</v>
      </c>
      <c r="D10" s="10" t="s">
        <v>199</v>
      </c>
    </row>
    <row r="11" ht="22.5" customHeight="1">
      <c r="A11" s="7" t="s">
        <v>53</v>
      </c>
      <c r="B11" s="10" t="s">
        <v>44</v>
      </c>
      <c r="C11" s="13">
        <v>45962.0</v>
      </c>
      <c r="D11" s="10" t="s">
        <v>199</v>
      </c>
    </row>
    <row r="12" ht="22.5" customHeight="1">
      <c r="A12" s="7" t="s">
        <v>53</v>
      </c>
      <c r="B12" s="10" t="s">
        <v>44</v>
      </c>
      <c r="C12" s="13">
        <v>45963.0</v>
      </c>
      <c r="D12" s="10" t="s">
        <v>200</v>
      </c>
    </row>
    <row r="13" ht="22.5" customHeight="1">
      <c r="A13" s="7" t="s">
        <v>53</v>
      </c>
      <c r="B13" s="10" t="s">
        <v>44</v>
      </c>
      <c r="C13" s="13">
        <v>45969.0</v>
      </c>
      <c r="D13" s="10" t="s">
        <v>199</v>
      </c>
    </row>
    <row r="14" ht="22.5" customHeight="1">
      <c r="A14" s="7" t="s">
        <v>53</v>
      </c>
      <c r="B14" s="10" t="s">
        <v>44</v>
      </c>
      <c r="C14" s="13">
        <v>45970.0</v>
      </c>
      <c r="D14" s="10" t="s">
        <v>199</v>
      </c>
    </row>
    <row r="15" ht="22.5" customHeight="1">
      <c r="A15" s="7" t="s">
        <v>53</v>
      </c>
      <c r="B15" s="10" t="s">
        <v>44</v>
      </c>
      <c r="C15" s="13">
        <v>45976.0</v>
      </c>
      <c r="D15" s="10" t="s">
        <v>199</v>
      </c>
    </row>
    <row r="16" ht="22.5" customHeight="1">
      <c r="A16" s="7" t="s">
        <v>53</v>
      </c>
      <c r="B16" s="10" t="s">
        <v>44</v>
      </c>
      <c r="C16" s="13">
        <v>45977.0</v>
      </c>
      <c r="D16" s="10" t="s">
        <v>199</v>
      </c>
    </row>
    <row r="17" ht="22.5" customHeight="1">
      <c r="A17" s="7" t="s">
        <v>53</v>
      </c>
      <c r="B17" s="10" t="s">
        <v>44</v>
      </c>
      <c r="C17" s="13">
        <v>45983.0</v>
      </c>
      <c r="D17" s="10" t="s">
        <v>199</v>
      </c>
    </row>
    <row r="18" ht="22.5" customHeight="1">
      <c r="A18" s="7" t="s">
        <v>53</v>
      </c>
      <c r="B18" s="10" t="s">
        <v>44</v>
      </c>
      <c r="C18" s="13">
        <v>45984.0</v>
      </c>
      <c r="D18" s="10" t="s">
        <v>199</v>
      </c>
    </row>
    <row r="19" ht="22.5" customHeight="1">
      <c r="A19" s="7" t="s">
        <v>53</v>
      </c>
      <c r="B19" s="10" t="s">
        <v>44</v>
      </c>
      <c r="C19" s="13">
        <v>45990.0</v>
      </c>
      <c r="D19" s="10" t="s">
        <v>199</v>
      </c>
    </row>
    <row r="20" ht="22.5" customHeight="1">
      <c r="A20" s="7" t="s">
        <v>53</v>
      </c>
      <c r="B20" s="10" t="s">
        <v>44</v>
      </c>
      <c r="C20" s="13">
        <v>45991.0</v>
      </c>
      <c r="D20" s="10" t="s">
        <v>198</v>
      </c>
    </row>
    <row r="21" ht="22.5" customHeight="1">
      <c r="A21" s="7" t="s">
        <v>53</v>
      </c>
      <c r="B21" s="10" t="s">
        <v>44</v>
      </c>
      <c r="C21" s="13">
        <v>45997.0</v>
      </c>
      <c r="D21" s="10" t="s">
        <v>199</v>
      </c>
    </row>
    <row r="22" ht="22.5" customHeight="1">
      <c r="A22" s="7" t="s">
        <v>53</v>
      </c>
      <c r="B22" s="10" t="s">
        <v>44</v>
      </c>
      <c r="C22" s="13">
        <v>45998.0</v>
      </c>
      <c r="D22" s="10" t="s">
        <v>199</v>
      </c>
    </row>
    <row r="23" ht="22.5" customHeight="1">
      <c r="A23" s="7" t="s">
        <v>53</v>
      </c>
      <c r="B23" s="10" t="s">
        <v>44</v>
      </c>
      <c r="C23" s="13">
        <v>46004.0</v>
      </c>
      <c r="D23" s="10" t="s">
        <v>199</v>
      </c>
    </row>
    <row r="24" ht="22.5" customHeight="1">
      <c r="A24" s="7" t="s">
        <v>53</v>
      </c>
      <c r="B24" s="10" t="s">
        <v>44</v>
      </c>
      <c r="C24" s="13">
        <v>46005.0</v>
      </c>
      <c r="D24" s="10" t="s">
        <v>199</v>
      </c>
    </row>
    <row r="25" ht="22.5" customHeight="1">
      <c r="A25" s="7" t="s">
        <v>49</v>
      </c>
      <c r="B25" s="10" t="s">
        <v>50</v>
      </c>
      <c r="C25" s="13">
        <v>45927.0</v>
      </c>
      <c r="D25" s="10" t="s">
        <v>199</v>
      </c>
    </row>
    <row r="26" ht="22.5" customHeight="1">
      <c r="A26" s="7" t="s">
        <v>49</v>
      </c>
      <c r="B26" s="10" t="s">
        <v>50</v>
      </c>
      <c r="C26" s="13">
        <v>45928.0</v>
      </c>
      <c r="D26" s="10" t="s">
        <v>199</v>
      </c>
    </row>
    <row r="27" ht="22.5" customHeight="1">
      <c r="A27" s="7" t="s">
        <v>49</v>
      </c>
      <c r="B27" s="10" t="s">
        <v>50</v>
      </c>
      <c r="C27" s="13">
        <v>45934.0</v>
      </c>
      <c r="D27" s="10" t="s">
        <v>198</v>
      </c>
    </row>
    <row r="28" ht="22.5" customHeight="1">
      <c r="A28" s="7" t="s">
        <v>49</v>
      </c>
      <c r="B28" s="10" t="s">
        <v>50</v>
      </c>
      <c r="C28" s="13">
        <v>45935.0</v>
      </c>
      <c r="D28" s="10" t="s">
        <v>199</v>
      </c>
    </row>
    <row r="29" ht="22.5" customHeight="1">
      <c r="A29" s="7" t="s">
        <v>49</v>
      </c>
      <c r="B29" s="10" t="s">
        <v>50</v>
      </c>
      <c r="C29" s="13">
        <v>45942.0</v>
      </c>
      <c r="D29" s="10" t="s">
        <v>198</v>
      </c>
    </row>
    <row r="30" ht="22.5" customHeight="1">
      <c r="A30" s="7" t="s">
        <v>49</v>
      </c>
      <c r="B30" s="10" t="s">
        <v>50</v>
      </c>
      <c r="C30" s="13">
        <v>45948.0</v>
      </c>
      <c r="D30" s="10" t="s">
        <v>200</v>
      </c>
    </row>
    <row r="31" ht="22.5" customHeight="1">
      <c r="A31" s="7" t="s">
        <v>49</v>
      </c>
      <c r="B31" s="10" t="s">
        <v>50</v>
      </c>
      <c r="C31" s="13">
        <v>45949.0</v>
      </c>
      <c r="D31" s="10" t="s">
        <v>199</v>
      </c>
    </row>
    <row r="32" ht="22.5" customHeight="1">
      <c r="A32" s="7" t="s">
        <v>49</v>
      </c>
      <c r="B32" s="10" t="s">
        <v>50</v>
      </c>
      <c r="C32" s="13">
        <v>45955.0</v>
      </c>
      <c r="D32" s="10" t="s">
        <v>199</v>
      </c>
    </row>
    <row r="33" ht="22.5" customHeight="1">
      <c r="A33" s="7" t="s">
        <v>49</v>
      </c>
      <c r="B33" s="10" t="s">
        <v>50</v>
      </c>
      <c r="C33" s="13">
        <v>45956.0</v>
      </c>
      <c r="D33" s="10" t="s">
        <v>199</v>
      </c>
    </row>
    <row r="34" ht="22.5" customHeight="1">
      <c r="A34" s="7" t="s">
        <v>49</v>
      </c>
      <c r="B34" s="10" t="s">
        <v>50</v>
      </c>
      <c r="C34" s="13">
        <v>45962.0</v>
      </c>
      <c r="D34" s="10" t="s">
        <v>198</v>
      </c>
    </row>
    <row r="35" ht="22.5" customHeight="1">
      <c r="A35" s="7" t="s">
        <v>49</v>
      </c>
      <c r="B35" s="10" t="s">
        <v>50</v>
      </c>
      <c r="C35" s="13">
        <v>45963.0</v>
      </c>
      <c r="D35" s="10" t="s">
        <v>200</v>
      </c>
    </row>
    <row r="36" ht="22.5" customHeight="1">
      <c r="A36" s="7" t="s">
        <v>49</v>
      </c>
      <c r="B36" s="10" t="s">
        <v>50</v>
      </c>
      <c r="C36" s="13">
        <v>45969.0</v>
      </c>
      <c r="D36" s="10" t="s">
        <v>198</v>
      </c>
    </row>
    <row r="37" ht="22.5" customHeight="1">
      <c r="A37" s="7" t="s">
        <v>49</v>
      </c>
      <c r="B37" s="10" t="s">
        <v>50</v>
      </c>
      <c r="C37" s="13">
        <v>45970.0</v>
      </c>
      <c r="D37" s="10" t="s">
        <v>199</v>
      </c>
    </row>
    <row r="38" ht="22.5" customHeight="1">
      <c r="A38" s="7" t="s">
        <v>49</v>
      </c>
      <c r="B38" s="10" t="s">
        <v>50</v>
      </c>
      <c r="C38" s="13">
        <v>45976.0</v>
      </c>
      <c r="D38" s="10" t="s">
        <v>198</v>
      </c>
    </row>
    <row r="39" ht="22.5" customHeight="1">
      <c r="A39" s="7" t="s">
        <v>49</v>
      </c>
      <c r="B39" s="10" t="s">
        <v>50</v>
      </c>
      <c r="C39" s="13">
        <v>45977.0</v>
      </c>
      <c r="D39" s="10" t="s">
        <v>199</v>
      </c>
    </row>
    <row r="40" ht="22.5" customHeight="1">
      <c r="A40" s="7" t="s">
        <v>49</v>
      </c>
      <c r="B40" s="10" t="s">
        <v>50</v>
      </c>
      <c r="C40" s="13">
        <v>45983.0</v>
      </c>
      <c r="D40" s="10" t="s">
        <v>198</v>
      </c>
    </row>
    <row r="41" ht="22.5" customHeight="1">
      <c r="A41" s="7" t="s">
        <v>49</v>
      </c>
      <c r="B41" s="10" t="s">
        <v>50</v>
      </c>
      <c r="C41" s="13">
        <v>45984.0</v>
      </c>
      <c r="D41" s="10" t="s">
        <v>199</v>
      </c>
    </row>
    <row r="42" ht="22.5" customHeight="1">
      <c r="A42" s="7" t="s">
        <v>49</v>
      </c>
      <c r="B42" s="10" t="s">
        <v>50</v>
      </c>
      <c r="C42" s="13">
        <v>45990.0</v>
      </c>
      <c r="D42" s="10" t="s">
        <v>198</v>
      </c>
    </row>
    <row r="43" ht="22.5" customHeight="1">
      <c r="A43" s="7" t="s">
        <v>49</v>
      </c>
      <c r="B43" s="10" t="s">
        <v>50</v>
      </c>
      <c r="C43" s="13">
        <v>45991.0</v>
      </c>
      <c r="D43" s="10" t="s">
        <v>199</v>
      </c>
    </row>
    <row r="44" ht="22.5" customHeight="1">
      <c r="A44" s="7" t="s">
        <v>49</v>
      </c>
      <c r="B44" s="10" t="s">
        <v>50</v>
      </c>
      <c r="C44" s="13">
        <v>45997.0</v>
      </c>
      <c r="D44" s="10" t="s">
        <v>199</v>
      </c>
    </row>
    <row r="45" ht="22.5" customHeight="1">
      <c r="A45" s="7" t="s">
        <v>49</v>
      </c>
      <c r="B45" s="10" t="s">
        <v>50</v>
      </c>
      <c r="C45" s="13">
        <v>45998.0</v>
      </c>
      <c r="D45" s="10" t="s">
        <v>199</v>
      </c>
    </row>
    <row r="46" ht="22.5" customHeight="1">
      <c r="A46" s="7" t="s">
        <v>49</v>
      </c>
      <c r="B46" s="10" t="s">
        <v>50</v>
      </c>
      <c r="C46" s="13">
        <v>46004.0</v>
      </c>
      <c r="D46" s="10" t="s">
        <v>198</v>
      </c>
    </row>
    <row r="47" ht="22.5" customHeight="1">
      <c r="A47" s="7" t="s">
        <v>49</v>
      </c>
      <c r="B47" s="10" t="s">
        <v>50</v>
      </c>
      <c r="C47" s="13">
        <v>46005.0</v>
      </c>
      <c r="D47" s="10" t="s">
        <v>199</v>
      </c>
    </row>
    <row r="48" ht="22.5" customHeight="1">
      <c r="A48" s="7" t="s">
        <v>51</v>
      </c>
      <c r="B48" s="10" t="s">
        <v>84</v>
      </c>
      <c r="C48" s="13">
        <v>45927.0</v>
      </c>
      <c r="D48" s="10" t="s">
        <v>199</v>
      </c>
    </row>
    <row r="49" ht="22.5" customHeight="1">
      <c r="A49" s="7" t="s">
        <v>51</v>
      </c>
      <c r="B49" s="10" t="s">
        <v>84</v>
      </c>
      <c r="C49" s="13">
        <v>45928.0</v>
      </c>
      <c r="D49" s="10" t="s">
        <v>198</v>
      </c>
    </row>
    <row r="50" ht="22.5" customHeight="1">
      <c r="A50" s="7" t="s">
        <v>51</v>
      </c>
      <c r="B50" s="10" t="s">
        <v>84</v>
      </c>
      <c r="C50" s="13">
        <v>45934.0</v>
      </c>
      <c r="D50" s="10" t="s">
        <v>199</v>
      </c>
    </row>
    <row r="51" ht="22.5" customHeight="1">
      <c r="A51" s="7" t="s">
        <v>51</v>
      </c>
      <c r="B51" s="10" t="s">
        <v>84</v>
      </c>
      <c r="C51" s="13">
        <v>45935.0</v>
      </c>
      <c r="D51" s="10" t="s">
        <v>198</v>
      </c>
    </row>
    <row r="52" ht="22.5" customHeight="1">
      <c r="A52" s="7" t="s">
        <v>51</v>
      </c>
      <c r="B52" s="10" t="s">
        <v>84</v>
      </c>
      <c r="C52" s="13">
        <v>45942.0</v>
      </c>
      <c r="D52" s="10" t="s">
        <v>199</v>
      </c>
    </row>
    <row r="53" ht="22.5" customHeight="1">
      <c r="A53" s="7" t="s">
        <v>51</v>
      </c>
      <c r="B53" s="10" t="s">
        <v>84</v>
      </c>
      <c r="C53" s="13">
        <v>45948.0</v>
      </c>
      <c r="D53" s="10" t="s">
        <v>198</v>
      </c>
    </row>
    <row r="54" ht="22.5" customHeight="1">
      <c r="A54" s="7" t="s">
        <v>51</v>
      </c>
      <c r="B54" s="10" t="s">
        <v>84</v>
      </c>
      <c r="C54" s="13">
        <v>45949.0</v>
      </c>
      <c r="D54" s="10" t="s">
        <v>199</v>
      </c>
    </row>
    <row r="55" ht="22.5" customHeight="1">
      <c r="A55" s="7" t="s">
        <v>51</v>
      </c>
      <c r="B55" s="10" t="s">
        <v>84</v>
      </c>
      <c r="C55" s="13">
        <v>45955.0</v>
      </c>
      <c r="D55" s="10" t="s">
        <v>198</v>
      </c>
    </row>
    <row r="56" ht="22.5" customHeight="1">
      <c r="A56" s="7" t="s">
        <v>51</v>
      </c>
      <c r="B56" s="10" t="s">
        <v>84</v>
      </c>
      <c r="C56" s="13">
        <v>45956.0</v>
      </c>
      <c r="D56" s="10" t="s">
        <v>199</v>
      </c>
    </row>
    <row r="57" ht="22.5" customHeight="1">
      <c r="A57" s="7" t="s">
        <v>51</v>
      </c>
      <c r="B57" s="10" t="s">
        <v>84</v>
      </c>
      <c r="C57" s="13">
        <v>45962.0</v>
      </c>
      <c r="D57" s="10" t="s">
        <v>198</v>
      </c>
    </row>
    <row r="58" ht="22.5" customHeight="1">
      <c r="A58" s="7" t="s">
        <v>51</v>
      </c>
      <c r="B58" s="10" t="s">
        <v>84</v>
      </c>
      <c r="C58" s="13">
        <v>45963.0</v>
      </c>
      <c r="D58" s="10" t="s">
        <v>200</v>
      </c>
    </row>
    <row r="59" ht="22.5" customHeight="1">
      <c r="A59" s="7" t="s">
        <v>51</v>
      </c>
      <c r="B59" s="10" t="s">
        <v>84</v>
      </c>
      <c r="C59" s="13">
        <v>45969.0</v>
      </c>
      <c r="D59" s="10" t="s">
        <v>198</v>
      </c>
    </row>
    <row r="60" ht="22.5" customHeight="1">
      <c r="A60" s="7" t="s">
        <v>51</v>
      </c>
      <c r="B60" s="10" t="s">
        <v>84</v>
      </c>
      <c r="C60" s="13">
        <v>45970.0</v>
      </c>
      <c r="D60" s="10" t="s">
        <v>199</v>
      </c>
    </row>
    <row r="61" ht="22.5" customHeight="1">
      <c r="A61" s="7" t="s">
        <v>51</v>
      </c>
      <c r="B61" s="10" t="s">
        <v>84</v>
      </c>
      <c r="C61" s="13">
        <v>45976.0</v>
      </c>
      <c r="D61" s="10" t="s">
        <v>198</v>
      </c>
    </row>
    <row r="62" ht="22.5" customHeight="1">
      <c r="A62" s="7" t="s">
        <v>51</v>
      </c>
      <c r="B62" s="10" t="s">
        <v>84</v>
      </c>
      <c r="C62" s="13">
        <v>45977.0</v>
      </c>
      <c r="D62" s="10" t="s">
        <v>199</v>
      </c>
    </row>
    <row r="63" ht="22.5" customHeight="1">
      <c r="A63" s="7" t="s">
        <v>51</v>
      </c>
      <c r="B63" s="10" t="s">
        <v>84</v>
      </c>
      <c r="C63" s="13">
        <v>45983.0</v>
      </c>
      <c r="D63" s="10" t="s">
        <v>198</v>
      </c>
    </row>
    <row r="64" ht="22.5" customHeight="1">
      <c r="A64" s="7" t="s">
        <v>51</v>
      </c>
      <c r="B64" s="10" t="s">
        <v>84</v>
      </c>
      <c r="C64" s="13">
        <v>45984.0</v>
      </c>
      <c r="D64" s="10" t="s">
        <v>198</v>
      </c>
    </row>
    <row r="65" ht="22.5" customHeight="1">
      <c r="A65" s="7" t="s">
        <v>51</v>
      </c>
      <c r="B65" s="10" t="s">
        <v>84</v>
      </c>
      <c r="C65" s="13">
        <v>45990.0</v>
      </c>
      <c r="D65" s="10" t="s">
        <v>198</v>
      </c>
    </row>
    <row r="66" ht="22.5" customHeight="1">
      <c r="A66" s="7" t="s">
        <v>51</v>
      </c>
      <c r="B66" s="10" t="s">
        <v>84</v>
      </c>
      <c r="C66" s="13">
        <v>45991.0</v>
      </c>
      <c r="D66" s="10" t="s">
        <v>199</v>
      </c>
    </row>
    <row r="67" ht="22.5" customHeight="1">
      <c r="A67" s="7" t="s">
        <v>51</v>
      </c>
      <c r="B67" s="10" t="s">
        <v>84</v>
      </c>
      <c r="C67" s="13">
        <v>45997.0</v>
      </c>
      <c r="D67" s="10" t="s">
        <v>198</v>
      </c>
    </row>
    <row r="68" ht="22.5" customHeight="1">
      <c r="A68" s="7" t="s">
        <v>51</v>
      </c>
      <c r="B68" s="10" t="s">
        <v>84</v>
      </c>
      <c r="C68" s="13">
        <v>45998.0</v>
      </c>
      <c r="D68" s="10" t="s">
        <v>199</v>
      </c>
    </row>
    <row r="69" ht="22.5" customHeight="1">
      <c r="A69" s="7" t="s">
        <v>51</v>
      </c>
      <c r="B69" s="10" t="s">
        <v>84</v>
      </c>
      <c r="C69" s="13">
        <v>46004.0</v>
      </c>
      <c r="D69" s="10" t="s">
        <v>198</v>
      </c>
    </row>
    <row r="70" ht="22.5" customHeight="1">
      <c r="A70" s="7" t="s">
        <v>51</v>
      </c>
      <c r="B70" s="10" t="s">
        <v>84</v>
      </c>
      <c r="C70" s="13">
        <v>46005.0</v>
      </c>
      <c r="D70" s="10" t="s">
        <v>199</v>
      </c>
    </row>
    <row r="71" ht="22.5" customHeight="1">
      <c r="A71" s="7" t="s">
        <v>85</v>
      </c>
      <c r="B71" s="10" t="s">
        <v>86</v>
      </c>
      <c r="C71" s="17">
        <v>45927.0</v>
      </c>
      <c r="D71" s="10" t="s">
        <v>199</v>
      </c>
    </row>
    <row r="72" ht="22.5" customHeight="1">
      <c r="A72" s="7" t="s">
        <v>85</v>
      </c>
      <c r="B72" s="10" t="s">
        <v>86</v>
      </c>
      <c r="C72" s="18">
        <v>45928.0</v>
      </c>
      <c r="D72" s="10" t="s">
        <v>199</v>
      </c>
    </row>
    <row r="73" ht="22.5" customHeight="1">
      <c r="A73" s="7" t="s">
        <v>85</v>
      </c>
      <c r="B73" s="10" t="s">
        <v>86</v>
      </c>
      <c r="C73" s="17">
        <v>45934.0</v>
      </c>
      <c r="D73" s="10" t="s">
        <v>198</v>
      </c>
    </row>
    <row r="74" ht="22.5" customHeight="1">
      <c r="A74" s="7" t="s">
        <v>85</v>
      </c>
      <c r="B74" s="10" t="s">
        <v>86</v>
      </c>
      <c r="C74" s="18">
        <v>45935.0</v>
      </c>
      <c r="D74" s="10" t="s">
        <v>199</v>
      </c>
    </row>
    <row r="75" ht="22.5" customHeight="1">
      <c r="A75" s="7" t="s">
        <v>85</v>
      </c>
      <c r="B75" s="10" t="s">
        <v>86</v>
      </c>
      <c r="C75" s="17">
        <v>45942.0</v>
      </c>
      <c r="D75" s="10" t="s">
        <v>198</v>
      </c>
    </row>
    <row r="76" ht="22.5" customHeight="1">
      <c r="A76" s="7" t="s">
        <v>85</v>
      </c>
      <c r="B76" s="10" t="s">
        <v>86</v>
      </c>
      <c r="C76" s="18">
        <v>45948.0</v>
      </c>
      <c r="D76" s="10" t="s">
        <v>200</v>
      </c>
    </row>
    <row r="77" ht="22.5" customHeight="1">
      <c r="A77" s="7" t="s">
        <v>85</v>
      </c>
      <c r="B77" s="10" t="s">
        <v>86</v>
      </c>
      <c r="C77" s="17">
        <v>45949.0</v>
      </c>
      <c r="D77" s="10" t="s">
        <v>199</v>
      </c>
    </row>
    <row r="78" ht="22.5" customHeight="1">
      <c r="A78" s="7" t="s">
        <v>85</v>
      </c>
      <c r="B78" s="10" t="s">
        <v>86</v>
      </c>
      <c r="C78" s="18">
        <v>45955.0</v>
      </c>
      <c r="D78" s="10" t="s">
        <v>199</v>
      </c>
    </row>
    <row r="79" ht="22.5" customHeight="1">
      <c r="A79" s="7" t="s">
        <v>85</v>
      </c>
      <c r="B79" s="10" t="s">
        <v>86</v>
      </c>
      <c r="C79" s="17">
        <v>45956.0</v>
      </c>
      <c r="D79" s="10" t="s">
        <v>199</v>
      </c>
    </row>
    <row r="80" ht="22.5" customHeight="1">
      <c r="A80" s="7" t="s">
        <v>85</v>
      </c>
      <c r="B80" s="10" t="s">
        <v>86</v>
      </c>
      <c r="C80" s="18">
        <v>45962.0</v>
      </c>
      <c r="D80" s="10" t="s">
        <v>198</v>
      </c>
    </row>
    <row r="81" ht="22.5" customHeight="1">
      <c r="A81" s="7" t="s">
        <v>85</v>
      </c>
      <c r="B81" s="10" t="s">
        <v>86</v>
      </c>
      <c r="C81" s="17">
        <v>45963.0</v>
      </c>
      <c r="D81" s="10" t="s">
        <v>200</v>
      </c>
    </row>
    <row r="82" ht="22.5" customHeight="1">
      <c r="A82" s="7" t="s">
        <v>85</v>
      </c>
      <c r="B82" s="10" t="s">
        <v>86</v>
      </c>
      <c r="C82" s="18">
        <v>45969.0</v>
      </c>
      <c r="D82" s="10" t="s">
        <v>198</v>
      </c>
    </row>
    <row r="83" ht="22.5" customHeight="1">
      <c r="A83" s="7" t="s">
        <v>85</v>
      </c>
      <c r="B83" s="10" t="s">
        <v>86</v>
      </c>
      <c r="C83" s="17">
        <v>45970.0</v>
      </c>
      <c r="D83" s="10" t="s">
        <v>199</v>
      </c>
    </row>
    <row r="84" ht="22.5" customHeight="1">
      <c r="A84" s="7" t="s">
        <v>85</v>
      </c>
      <c r="B84" s="10" t="s">
        <v>86</v>
      </c>
      <c r="C84" s="18">
        <v>45976.0</v>
      </c>
      <c r="D84" s="10" t="s">
        <v>198</v>
      </c>
    </row>
    <row r="85" ht="22.5" customHeight="1">
      <c r="A85" s="7" t="s">
        <v>85</v>
      </c>
      <c r="B85" s="10" t="s">
        <v>86</v>
      </c>
      <c r="C85" s="17">
        <v>45977.0</v>
      </c>
      <c r="D85" s="10" t="s">
        <v>199</v>
      </c>
    </row>
    <row r="86" ht="22.5" customHeight="1">
      <c r="A86" s="7" t="s">
        <v>85</v>
      </c>
      <c r="B86" s="10" t="s">
        <v>86</v>
      </c>
      <c r="C86" s="18">
        <v>45983.0</v>
      </c>
      <c r="D86" s="10" t="s">
        <v>198</v>
      </c>
    </row>
    <row r="87" ht="22.5" customHeight="1">
      <c r="A87" s="7" t="s">
        <v>85</v>
      </c>
      <c r="B87" s="10" t="s">
        <v>86</v>
      </c>
      <c r="C87" s="17">
        <v>45984.0</v>
      </c>
      <c r="D87" s="10" t="s">
        <v>199</v>
      </c>
    </row>
    <row r="88" ht="22.5" customHeight="1">
      <c r="A88" s="7" t="s">
        <v>85</v>
      </c>
      <c r="B88" s="10" t="s">
        <v>86</v>
      </c>
      <c r="C88" s="18">
        <v>45990.0</v>
      </c>
      <c r="D88" s="10" t="s">
        <v>198</v>
      </c>
    </row>
    <row r="89" ht="22.5" customHeight="1">
      <c r="A89" s="7" t="s">
        <v>85</v>
      </c>
      <c r="B89" s="10" t="s">
        <v>86</v>
      </c>
      <c r="C89" s="17">
        <v>45991.0</v>
      </c>
      <c r="D89" s="10" t="s">
        <v>199</v>
      </c>
    </row>
    <row r="90" ht="22.5" customHeight="1">
      <c r="A90" s="7" t="s">
        <v>85</v>
      </c>
      <c r="B90" s="10" t="s">
        <v>86</v>
      </c>
      <c r="C90" s="18">
        <v>45997.0</v>
      </c>
      <c r="D90" s="10" t="s">
        <v>198</v>
      </c>
    </row>
    <row r="91" ht="22.5" customHeight="1">
      <c r="A91" s="7" t="s">
        <v>85</v>
      </c>
      <c r="B91" s="10" t="s">
        <v>86</v>
      </c>
      <c r="C91" s="17">
        <v>45998.0</v>
      </c>
      <c r="D91" s="10" t="s">
        <v>199</v>
      </c>
    </row>
    <row r="92" ht="22.5" customHeight="1">
      <c r="A92" s="7" t="s">
        <v>85</v>
      </c>
      <c r="B92" s="10" t="s">
        <v>86</v>
      </c>
      <c r="C92" s="18">
        <v>46004.0</v>
      </c>
      <c r="D92" s="10" t="s">
        <v>198</v>
      </c>
    </row>
    <row r="93" ht="22.5" customHeight="1">
      <c r="A93" s="7" t="s">
        <v>85</v>
      </c>
      <c r="B93" s="10" t="s">
        <v>86</v>
      </c>
      <c r="C93" s="17">
        <v>46005.0</v>
      </c>
      <c r="D93" s="10" t="s">
        <v>199</v>
      </c>
    </row>
    <row r="94" ht="22.5" customHeight="1">
      <c r="A94" s="7" t="s">
        <v>201</v>
      </c>
      <c r="B94" s="10" t="s">
        <v>202</v>
      </c>
      <c r="C94" s="17">
        <v>45927.0</v>
      </c>
      <c r="D94" s="10" t="s">
        <v>198</v>
      </c>
    </row>
    <row r="95" ht="22.5" customHeight="1">
      <c r="A95" s="7" t="s">
        <v>201</v>
      </c>
      <c r="B95" s="10" t="s">
        <v>202</v>
      </c>
      <c r="C95" s="18">
        <v>45928.0</v>
      </c>
      <c r="D95" s="10" t="s">
        <v>198</v>
      </c>
    </row>
    <row r="96" ht="22.5" customHeight="1">
      <c r="A96" s="7" t="s">
        <v>201</v>
      </c>
      <c r="B96" s="10" t="s">
        <v>202</v>
      </c>
      <c r="C96" s="17">
        <v>45934.0</v>
      </c>
      <c r="D96" s="10" t="s">
        <v>199</v>
      </c>
    </row>
    <row r="97" ht="22.5" customHeight="1">
      <c r="A97" s="7" t="s">
        <v>201</v>
      </c>
      <c r="B97" s="10" t="s">
        <v>202</v>
      </c>
      <c r="C97" s="18">
        <v>45935.0</v>
      </c>
      <c r="D97" s="10" t="s">
        <v>198</v>
      </c>
    </row>
    <row r="98" ht="22.5" customHeight="1">
      <c r="A98" s="7" t="s">
        <v>201</v>
      </c>
      <c r="B98" s="10" t="s">
        <v>202</v>
      </c>
      <c r="C98" s="17">
        <v>45942.0</v>
      </c>
      <c r="D98" s="10" t="s">
        <v>198</v>
      </c>
    </row>
    <row r="99" ht="22.5" customHeight="1">
      <c r="A99" s="7" t="s">
        <v>201</v>
      </c>
      <c r="B99" s="10" t="s">
        <v>202</v>
      </c>
      <c r="C99" s="18">
        <v>45948.0</v>
      </c>
      <c r="D99" s="10" t="s">
        <v>198</v>
      </c>
    </row>
    <row r="100" ht="22.5" customHeight="1">
      <c r="A100" s="7" t="s">
        <v>58</v>
      </c>
      <c r="B100" s="10" t="s">
        <v>59</v>
      </c>
      <c r="C100" s="17">
        <v>45927.0</v>
      </c>
      <c r="D100" s="10" t="s">
        <v>199</v>
      </c>
    </row>
    <row r="101" ht="22.5" customHeight="1">
      <c r="A101" s="7" t="s">
        <v>58</v>
      </c>
      <c r="B101" s="10" t="s">
        <v>59</v>
      </c>
      <c r="C101" s="18">
        <v>45928.0</v>
      </c>
      <c r="D101" s="10" t="s">
        <v>198</v>
      </c>
    </row>
    <row r="102" ht="22.5" customHeight="1">
      <c r="A102" s="7" t="s">
        <v>58</v>
      </c>
      <c r="B102" s="10" t="s">
        <v>59</v>
      </c>
      <c r="C102" s="17">
        <v>45934.0</v>
      </c>
      <c r="D102" s="10" t="s">
        <v>199</v>
      </c>
    </row>
    <row r="103" ht="22.5" customHeight="1">
      <c r="A103" s="7" t="s">
        <v>58</v>
      </c>
      <c r="B103" s="10" t="s">
        <v>59</v>
      </c>
      <c r="C103" s="18">
        <v>45935.0</v>
      </c>
      <c r="D103" s="10" t="s">
        <v>199</v>
      </c>
    </row>
    <row r="104" ht="22.5" customHeight="1">
      <c r="A104" s="7" t="s">
        <v>58</v>
      </c>
      <c r="B104" s="10" t="s">
        <v>59</v>
      </c>
      <c r="C104" s="17">
        <v>45942.0</v>
      </c>
      <c r="D104" s="10" t="s">
        <v>198</v>
      </c>
    </row>
    <row r="105" ht="22.5" customHeight="1">
      <c r="A105" s="7" t="s">
        <v>58</v>
      </c>
      <c r="B105" s="10" t="s">
        <v>59</v>
      </c>
      <c r="C105" s="18">
        <v>45948.0</v>
      </c>
      <c r="D105" s="10" t="s">
        <v>198</v>
      </c>
    </row>
    <row r="106" ht="22.5" customHeight="1">
      <c r="A106" s="7" t="s">
        <v>58</v>
      </c>
      <c r="B106" s="10" t="s">
        <v>59</v>
      </c>
      <c r="C106" s="17">
        <v>45949.0</v>
      </c>
      <c r="D106" s="10" t="s">
        <v>199</v>
      </c>
    </row>
    <row r="107" ht="22.5" customHeight="1">
      <c r="A107" s="7" t="s">
        <v>58</v>
      </c>
      <c r="B107" s="10" t="s">
        <v>59</v>
      </c>
      <c r="C107" s="18">
        <v>45955.0</v>
      </c>
      <c r="D107" s="10" t="s">
        <v>199</v>
      </c>
    </row>
    <row r="108" ht="22.5" customHeight="1">
      <c r="A108" s="7" t="s">
        <v>58</v>
      </c>
      <c r="B108" s="10" t="s">
        <v>59</v>
      </c>
      <c r="C108" s="17">
        <v>45956.0</v>
      </c>
      <c r="D108" s="10" t="s">
        <v>198</v>
      </c>
    </row>
    <row r="109" ht="22.5" customHeight="1">
      <c r="A109" s="7" t="s">
        <v>58</v>
      </c>
      <c r="B109" s="10" t="s">
        <v>59</v>
      </c>
      <c r="C109" s="18">
        <v>45962.0</v>
      </c>
      <c r="D109" s="10" t="s">
        <v>199</v>
      </c>
    </row>
    <row r="110" ht="22.5" customHeight="1">
      <c r="A110" s="7" t="s">
        <v>58</v>
      </c>
      <c r="B110" s="10" t="s">
        <v>59</v>
      </c>
      <c r="C110" s="17">
        <v>45963.0</v>
      </c>
      <c r="D110" s="10" t="s">
        <v>198</v>
      </c>
    </row>
    <row r="111" ht="22.5" customHeight="1">
      <c r="A111" s="7" t="s">
        <v>58</v>
      </c>
      <c r="B111" s="10" t="s">
        <v>59</v>
      </c>
      <c r="C111" s="18">
        <v>45969.0</v>
      </c>
      <c r="D111" s="10" t="s">
        <v>199</v>
      </c>
    </row>
    <row r="112" ht="22.5" customHeight="1">
      <c r="A112" s="7" t="s">
        <v>58</v>
      </c>
      <c r="B112" s="10" t="s">
        <v>59</v>
      </c>
      <c r="C112" s="17">
        <v>45970.0</v>
      </c>
      <c r="D112" s="10" t="s">
        <v>200</v>
      </c>
    </row>
    <row r="113" ht="22.5" customHeight="1">
      <c r="A113" s="7" t="s">
        <v>58</v>
      </c>
      <c r="B113" s="10" t="s">
        <v>59</v>
      </c>
      <c r="C113" s="18">
        <v>45976.0</v>
      </c>
      <c r="D113" s="10" t="s">
        <v>199</v>
      </c>
    </row>
    <row r="114" ht="22.5" customHeight="1">
      <c r="A114" s="7" t="s">
        <v>58</v>
      </c>
      <c r="B114" s="10" t="s">
        <v>59</v>
      </c>
      <c r="C114" s="17">
        <v>45977.0</v>
      </c>
      <c r="D114" s="10" t="s">
        <v>198</v>
      </c>
    </row>
    <row r="115" ht="22.5" customHeight="1">
      <c r="A115" s="7" t="s">
        <v>58</v>
      </c>
      <c r="B115" s="10" t="s">
        <v>59</v>
      </c>
      <c r="C115" s="18">
        <v>45983.0</v>
      </c>
      <c r="D115" s="10" t="s">
        <v>199</v>
      </c>
    </row>
    <row r="116" ht="22.5" customHeight="1">
      <c r="A116" s="7" t="s">
        <v>58</v>
      </c>
      <c r="B116" s="10" t="s">
        <v>59</v>
      </c>
      <c r="C116" s="17">
        <v>45984.0</v>
      </c>
      <c r="D116" s="10" t="s">
        <v>199</v>
      </c>
    </row>
    <row r="117" ht="22.5" customHeight="1">
      <c r="A117" s="7" t="s">
        <v>58</v>
      </c>
      <c r="B117" s="10" t="s">
        <v>59</v>
      </c>
      <c r="C117" s="18">
        <v>45990.0</v>
      </c>
      <c r="D117" s="10" t="s">
        <v>199</v>
      </c>
    </row>
    <row r="118" ht="22.5" customHeight="1">
      <c r="A118" s="7" t="s">
        <v>58</v>
      </c>
      <c r="B118" s="10" t="s">
        <v>59</v>
      </c>
      <c r="C118" s="17">
        <v>45991.0</v>
      </c>
      <c r="D118" s="10" t="s">
        <v>199</v>
      </c>
    </row>
    <row r="119" ht="22.5" customHeight="1">
      <c r="A119" s="7" t="s">
        <v>58</v>
      </c>
      <c r="B119" s="10" t="s">
        <v>59</v>
      </c>
      <c r="C119" s="18">
        <v>45997.0</v>
      </c>
      <c r="D119" s="10" t="s">
        <v>199</v>
      </c>
    </row>
    <row r="120" ht="22.5" customHeight="1">
      <c r="A120" s="7" t="s">
        <v>58</v>
      </c>
      <c r="B120" s="10" t="s">
        <v>59</v>
      </c>
      <c r="C120" s="17">
        <v>45998.0</v>
      </c>
      <c r="D120" s="10" t="s">
        <v>199</v>
      </c>
    </row>
    <row r="121" ht="22.5" customHeight="1">
      <c r="A121" s="7" t="s">
        <v>58</v>
      </c>
      <c r="B121" s="10" t="s">
        <v>59</v>
      </c>
      <c r="C121" s="18">
        <v>46004.0</v>
      </c>
      <c r="D121" s="10" t="s">
        <v>199</v>
      </c>
    </row>
    <row r="122" ht="22.5" customHeight="1">
      <c r="A122" s="7" t="s">
        <v>58</v>
      </c>
      <c r="B122" s="10" t="s">
        <v>59</v>
      </c>
      <c r="C122" s="17">
        <v>46005.0</v>
      </c>
      <c r="D122" s="10" t="s">
        <v>199</v>
      </c>
    </row>
    <row r="123" ht="22.5" customHeight="1">
      <c r="A123" s="7" t="s">
        <v>61</v>
      </c>
      <c r="B123" s="10" t="s">
        <v>87</v>
      </c>
      <c r="C123" s="17">
        <v>45927.0</v>
      </c>
      <c r="D123" s="10" t="s">
        <v>199</v>
      </c>
    </row>
    <row r="124" ht="22.5" customHeight="1">
      <c r="A124" s="7" t="s">
        <v>61</v>
      </c>
      <c r="B124" s="10" t="s">
        <v>87</v>
      </c>
      <c r="C124" s="18">
        <v>45928.0</v>
      </c>
      <c r="D124" s="10" t="s">
        <v>199</v>
      </c>
    </row>
    <row r="125" ht="22.5" customHeight="1">
      <c r="A125" s="7" t="s">
        <v>61</v>
      </c>
      <c r="B125" s="10" t="s">
        <v>87</v>
      </c>
      <c r="C125" s="17">
        <v>45934.0</v>
      </c>
      <c r="D125" s="10" t="s">
        <v>199</v>
      </c>
    </row>
    <row r="126" ht="22.5" customHeight="1">
      <c r="A126" s="7" t="s">
        <v>61</v>
      </c>
      <c r="B126" s="10" t="s">
        <v>87</v>
      </c>
      <c r="C126" s="18">
        <v>45935.0</v>
      </c>
      <c r="D126" s="10" t="s">
        <v>199</v>
      </c>
    </row>
    <row r="127" ht="22.5" customHeight="1">
      <c r="A127" s="7" t="s">
        <v>61</v>
      </c>
      <c r="B127" s="10" t="s">
        <v>87</v>
      </c>
      <c r="C127" s="17">
        <v>45942.0</v>
      </c>
      <c r="D127" s="10" t="s">
        <v>199</v>
      </c>
    </row>
    <row r="128" ht="22.5" customHeight="1">
      <c r="A128" s="7" t="s">
        <v>61</v>
      </c>
      <c r="B128" s="10" t="s">
        <v>87</v>
      </c>
      <c r="C128" s="18">
        <v>45948.0</v>
      </c>
      <c r="D128" s="10" t="s">
        <v>199</v>
      </c>
    </row>
    <row r="129" ht="22.5" customHeight="1">
      <c r="A129" s="7" t="s">
        <v>61</v>
      </c>
      <c r="B129" s="10" t="s">
        <v>87</v>
      </c>
      <c r="C129" s="17">
        <v>45949.0</v>
      </c>
      <c r="D129" s="10" t="s">
        <v>199</v>
      </c>
    </row>
    <row r="130" ht="22.5" customHeight="1">
      <c r="A130" s="7" t="s">
        <v>61</v>
      </c>
      <c r="B130" s="10" t="s">
        <v>87</v>
      </c>
      <c r="C130" s="18">
        <v>45955.0</v>
      </c>
      <c r="D130" s="10" t="s">
        <v>199</v>
      </c>
    </row>
    <row r="131" ht="22.5" customHeight="1">
      <c r="A131" s="7" t="s">
        <v>61</v>
      </c>
      <c r="B131" s="10" t="s">
        <v>87</v>
      </c>
      <c r="C131" s="17">
        <v>45956.0</v>
      </c>
      <c r="D131" s="10" t="s">
        <v>199</v>
      </c>
    </row>
    <row r="132" ht="22.5" customHeight="1">
      <c r="A132" s="7" t="s">
        <v>61</v>
      </c>
      <c r="B132" s="10" t="s">
        <v>87</v>
      </c>
      <c r="C132" s="18">
        <v>45962.0</v>
      </c>
      <c r="D132" s="10" t="s">
        <v>198</v>
      </c>
    </row>
    <row r="133" ht="22.5" customHeight="1">
      <c r="A133" s="7" t="s">
        <v>61</v>
      </c>
      <c r="B133" s="10" t="s">
        <v>87</v>
      </c>
      <c r="C133" s="17">
        <v>45963.0</v>
      </c>
      <c r="D133" s="10" t="s">
        <v>199</v>
      </c>
    </row>
    <row r="134" ht="22.5" customHeight="1">
      <c r="A134" s="7" t="s">
        <v>61</v>
      </c>
      <c r="B134" s="10" t="s">
        <v>87</v>
      </c>
      <c r="C134" s="18">
        <v>45969.0</v>
      </c>
      <c r="D134" s="10" t="s">
        <v>199</v>
      </c>
    </row>
    <row r="135" ht="22.5" customHeight="1">
      <c r="A135" s="7" t="s">
        <v>61</v>
      </c>
      <c r="B135" s="10" t="s">
        <v>87</v>
      </c>
      <c r="C135" s="17">
        <v>45970.0</v>
      </c>
      <c r="D135" s="10" t="s">
        <v>199</v>
      </c>
    </row>
    <row r="136" ht="22.5" customHeight="1">
      <c r="A136" s="7" t="s">
        <v>61</v>
      </c>
      <c r="B136" s="10" t="s">
        <v>87</v>
      </c>
      <c r="C136" s="18">
        <v>45976.0</v>
      </c>
      <c r="D136" s="10" t="s">
        <v>199</v>
      </c>
    </row>
    <row r="137" ht="22.5" customHeight="1">
      <c r="A137" s="7" t="s">
        <v>61</v>
      </c>
      <c r="B137" s="10" t="s">
        <v>87</v>
      </c>
      <c r="C137" s="17">
        <v>45977.0</v>
      </c>
      <c r="D137" s="10" t="s">
        <v>199</v>
      </c>
    </row>
    <row r="138" ht="22.5" customHeight="1">
      <c r="A138" s="7" t="s">
        <v>61</v>
      </c>
      <c r="B138" s="10" t="s">
        <v>87</v>
      </c>
      <c r="C138" s="18">
        <v>45983.0</v>
      </c>
      <c r="D138" s="10" t="s">
        <v>199</v>
      </c>
    </row>
    <row r="139" ht="22.5" customHeight="1">
      <c r="A139" s="7" t="s">
        <v>61</v>
      </c>
      <c r="B139" s="10" t="s">
        <v>87</v>
      </c>
      <c r="C139" s="17">
        <v>45984.0</v>
      </c>
      <c r="D139" s="10" t="s">
        <v>199</v>
      </c>
    </row>
    <row r="140" ht="22.5" customHeight="1">
      <c r="A140" s="7" t="s">
        <v>61</v>
      </c>
      <c r="B140" s="10" t="s">
        <v>87</v>
      </c>
      <c r="C140" s="18">
        <v>45990.0</v>
      </c>
      <c r="D140" s="10" t="s">
        <v>199</v>
      </c>
    </row>
    <row r="141" ht="22.5" customHeight="1">
      <c r="A141" s="7" t="s">
        <v>61</v>
      </c>
      <c r="B141" s="10" t="s">
        <v>87</v>
      </c>
      <c r="C141" s="17">
        <v>45991.0</v>
      </c>
      <c r="D141" s="10" t="s">
        <v>199</v>
      </c>
    </row>
    <row r="142" ht="22.5" customHeight="1">
      <c r="A142" s="7" t="s">
        <v>61</v>
      </c>
      <c r="B142" s="10" t="s">
        <v>87</v>
      </c>
      <c r="C142" s="18">
        <v>45997.0</v>
      </c>
      <c r="D142" s="10" t="s">
        <v>199</v>
      </c>
    </row>
    <row r="143" ht="22.5" customHeight="1">
      <c r="A143" s="7" t="s">
        <v>61</v>
      </c>
      <c r="B143" s="10" t="s">
        <v>87</v>
      </c>
      <c r="C143" s="17">
        <v>45998.0</v>
      </c>
      <c r="D143" s="10" t="s">
        <v>199</v>
      </c>
    </row>
    <row r="144" ht="22.5" customHeight="1">
      <c r="A144" s="7" t="s">
        <v>61</v>
      </c>
      <c r="B144" s="10" t="s">
        <v>87</v>
      </c>
      <c r="C144" s="18">
        <v>46004.0</v>
      </c>
      <c r="D144" s="10" t="s">
        <v>199</v>
      </c>
    </row>
    <row r="145" ht="22.5" customHeight="1">
      <c r="A145" s="7" t="s">
        <v>61</v>
      </c>
      <c r="B145" s="10" t="s">
        <v>87</v>
      </c>
      <c r="C145" s="17">
        <v>46005.0</v>
      </c>
      <c r="D145" s="10" t="s">
        <v>199</v>
      </c>
    </row>
    <row r="146" ht="22.5" customHeight="1">
      <c r="A146" s="7" t="s">
        <v>88</v>
      </c>
      <c r="B146" s="10" t="s">
        <v>89</v>
      </c>
      <c r="C146" s="18">
        <v>45935.0</v>
      </c>
      <c r="D146" s="10" t="s">
        <v>199</v>
      </c>
    </row>
    <row r="147" ht="22.5" customHeight="1">
      <c r="A147" s="7" t="s">
        <v>88</v>
      </c>
      <c r="B147" s="10" t="s">
        <v>89</v>
      </c>
      <c r="C147" s="17">
        <v>45942.0</v>
      </c>
      <c r="D147" s="10" t="s">
        <v>199</v>
      </c>
    </row>
    <row r="148" ht="22.5" customHeight="1">
      <c r="A148" s="7" t="s">
        <v>88</v>
      </c>
      <c r="B148" s="10" t="s">
        <v>89</v>
      </c>
      <c r="C148" s="18">
        <v>45948.0</v>
      </c>
      <c r="D148" s="10" t="s">
        <v>199</v>
      </c>
    </row>
    <row r="149" ht="22.5" customHeight="1">
      <c r="A149" s="7" t="s">
        <v>88</v>
      </c>
      <c r="B149" s="10" t="s">
        <v>89</v>
      </c>
      <c r="C149" s="17">
        <v>45949.0</v>
      </c>
      <c r="D149" s="10" t="s">
        <v>199</v>
      </c>
    </row>
    <row r="150" ht="22.5" customHeight="1">
      <c r="A150" s="7" t="s">
        <v>88</v>
      </c>
      <c r="B150" s="10" t="s">
        <v>89</v>
      </c>
      <c r="C150" s="18">
        <v>45955.0</v>
      </c>
      <c r="D150" s="10" t="s">
        <v>198</v>
      </c>
    </row>
    <row r="151" ht="22.5" customHeight="1">
      <c r="A151" s="7" t="s">
        <v>88</v>
      </c>
      <c r="B151" s="10" t="s">
        <v>89</v>
      </c>
      <c r="C151" s="17">
        <v>45956.0</v>
      </c>
      <c r="D151" s="10" t="s">
        <v>199</v>
      </c>
    </row>
    <row r="152" ht="22.5" customHeight="1">
      <c r="A152" s="7" t="s">
        <v>88</v>
      </c>
      <c r="B152" s="10" t="s">
        <v>89</v>
      </c>
      <c r="C152" s="18">
        <v>45962.0</v>
      </c>
      <c r="D152" s="10" t="s">
        <v>199</v>
      </c>
    </row>
    <row r="153" ht="22.5" customHeight="1">
      <c r="A153" s="7" t="s">
        <v>88</v>
      </c>
      <c r="B153" s="10" t="s">
        <v>89</v>
      </c>
      <c r="C153" s="17">
        <v>45963.0</v>
      </c>
      <c r="D153" s="10" t="s">
        <v>199</v>
      </c>
    </row>
    <row r="154" ht="22.5" customHeight="1">
      <c r="A154" s="7" t="s">
        <v>88</v>
      </c>
      <c r="B154" s="10" t="s">
        <v>89</v>
      </c>
      <c r="C154" s="18">
        <v>45969.0</v>
      </c>
      <c r="D154" s="10" t="s">
        <v>199</v>
      </c>
    </row>
    <row r="155" ht="22.5" customHeight="1">
      <c r="A155" s="7" t="s">
        <v>88</v>
      </c>
      <c r="B155" s="10" t="s">
        <v>89</v>
      </c>
      <c r="C155" s="17">
        <v>45970.0</v>
      </c>
      <c r="D155" s="10" t="s">
        <v>199</v>
      </c>
    </row>
    <row r="156" ht="22.5" customHeight="1">
      <c r="A156" s="7" t="s">
        <v>88</v>
      </c>
      <c r="B156" s="10" t="s">
        <v>89</v>
      </c>
      <c r="C156" s="18">
        <v>45976.0</v>
      </c>
      <c r="D156" s="10" t="s">
        <v>199</v>
      </c>
    </row>
    <row r="157" ht="22.5" customHeight="1">
      <c r="A157" s="7" t="s">
        <v>88</v>
      </c>
      <c r="B157" s="10" t="s">
        <v>89</v>
      </c>
      <c r="C157" s="17">
        <v>45977.0</v>
      </c>
      <c r="D157" s="10" t="s">
        <v>199</v>
      </c>
    </row>
    <row r="158" ht="22.5" customHeight="1">
      <c r="A158" s="7" t="s">
        <v>88</v>
      </c>
      <c r="B158" s="10" t="s">
        <v>89</v>
      </c>
      <c r="C158" s="18">
        <v>45983.0</v>
      </c>
      <c r="D158" s="10" t="s">
        <v>199</v>
      </c>
    </row>
    <row r="159" ht="22.5" customHeight="1">
      <c r="A159" s="7" t="s">
        <v>88</v>
      </c>
      <c r="B159" s="10" t="s">
        <v>89</v>
      </c>
      <c r="C159" s="17">
        <v>45984.0</v>
      </c>
      <c r="D159" s="10" t="s">
        <v>199</v>
      </c>
    </row>
    <row r="160" ht="22.5" customHeight="1">
      <c r="A160" s="7" t="s">
        <v>88</v>
      </c>
      <c r="B160" s="10" t="s">
        <v>89</v>
      </c>
      <c r="C160" s="18">
        <v>45990.0</v>
      </c>
      <c r="D160" s="10" t="s">
        <v>199</v>
      </c>
    </row>
    <row r="161" ht="22.5" customHeight="1">
      <c r="A161" s="7" t="s">
        <v>88</v>
      </c>
      <c r="B161" s="10" t="s">
        <v>89</v>
      </c>
      <c r="C161" s="17">
        <v>45991.0</v>
      </c>
      <c r="D161" s="10" t="s">
        <v>198</v>
      </c>
    </row>
    <row r="162" ht="22.5" customHeight="1">
      <c r="A162" s="7" t="s">
        <v>88</v>
      </c>
      <c r="B162" s="10" t="s">
        <v>89</v>
      </c>
      <c r="C162" s="18">
        <v>45997.0</v>
      </c>
      <c r="D162" s="10" t="s">
        <v>199</v>
      </c>
    </row>
    <row r="163" ht="22.5" customHeight="1">
      <c r="A163" s="7" t="s">
        <v>88</v>
      </c>
      <c r="B163" s="10" t="s">
        <v>89</v>
      </c>
      <c r="C163" s="17">
        <v>45998.0</v>
      </c>
      <c r="D163" s="10" t="s">
        <v>199</v>
      </c>
    </row>
    <row r="164" ht="22.5" customHeight="1">
      <c r="A164" s="7" t="s">
        <v>88</v>
      </c>
      <c r="B164" s="10" t="s">
        <v>89</v>
      </c>
      <c r="C164" s="18">
        <v>46004.0</v>
      </c>
      <c r="D164" s="10" t="s">
        <v>198</v>
      </c>
    </row>
    <row r="165" ht="22.5" customHeight="1">
      <c r="A165" s="7" t="s">
        <v>88</v>
      </c>
      <c r="B165" s="10" t="s">
        <v>89</v>
      </c>
      <c r="C165" s="17">
        <v>46005.0</v>
      </c>
      <c r="D165" s="10" t="s">
        <v>199</v>
      </c>
    </row>
    <row r="166" ht="22.5" customHeight="1">
      <c r="A166" s="7" t="s">
        <v>70</v>
      </c>
      <c r="B166" s="10" t="s">
        <v>71</v>
      </c>
      <c r="C166" s="18">
        <v>45969.0</v>
      </c>
      <c r="D166" s="10" t="s">
        <v>198</v>
      </c>
    </row>
    <row r="167" ht="22.5" customHeight="1">
      <c r="A167" s="7" t="s">
        <v>70</v>
      </c>
      <c r="B167" s="10" t="s">
        <v>71</v>
      </c>
      <c r="C167" s="17">
        <v>45970.0</v>
      </c>
      <c r="D167" s="10" t="s">
        <v>199</v>
      </c>
    </row>
    <row r="168" ht="22.5" customHeight="1">
      <c r="A168" s="7" t="s">
        <v>70</v>
      </c>
      <c r="B168" s="10" t="s">
        <v>71</v>
      </c>
      <c r="C168" s="18">
        <v>45976.0</v>
      </c>
      <c r="D168" s="10" t="s">
        <v>198</v>
      </c>
    </row>
    <row r="169" ht="22.5" customHeight="1">
      <c r="A169" s="7" t="s">
        <v>70</v>
      </c>
      <c r="B169" s="10" t="s">
        <v>71</v>
      </c>
      <c r="C169" s="17">
        <v>45977.0</v>
      </c>
      <c r="D169" s="10" t="s">
        <v>198</v>
      </c>
    </row>
    <row r="170" ht="22.5" customHeight="1">
      <c r="A170" s="7" t="s">
        <v>70</v>
      </c>
      <c r="B170" s="10" t="s">
        <v>71</v>
      </c>
      <c r="C170" s="18">
        <v>45983.0</v>
      </c>
      <c r="D170" s="10" t="s">
        <v>198</v>
      </c>
    </row>
    <row r="171" ht="22.5" customHeight="1">
      <c r="A171" s="7" t="s">
        <v>70</v>
      </c>
      <c r="B171" s="10" t="s">
        <v>71</v>
      </c>
      <c r="C171" s="17">
        <v>45984.0</v>
      </c>
      <c r="D171" s="10" t="s">
        <v>199</v>
      </c>
    </row>
    <row r="172" ht="22.5" customHeight="1">
      <c r="A172" s="7" t="s">
        <v>70</v>
      </c>
      <c r="B172" s="10" t="s">
        <v>71</v>
      </c>
      <c r="C172" s="18">
        <v>45990.0</v>
      </c>
      <c r="D172" s="10" t="s">
        <v>198</v>
      </c>
    </row>
    <row r="173" ht="22.5" customHeight="1">
      <c r="A173" s="7" t="s">
        <v>70</v>
      </c>
      <c r="B173" s="10" t="s">
        <v>71</v>
      </c>
      <c r="C173" s="17">
        <v>45991.0</v>
      </c>
      <c r="D173" s="10" t="s">
        <v>199</v>
      </c>
    </row>
    <row r="174" ht="22.5" customHeight="1">
      <c r="A174" s="7" t="s">
        <v>70</v>
      </c>
      <c r="B174" s="10" t="s">
        <v>71</v>
      </c>
      <c r="C174" s="18">
        <v>45997.0</v>
      </c>
      <c r="D174" s="10" t="s">
        <v>198</v>
      </c>
    </row>
    <row r="175" ht="22.5" customHeight="1">
      <c r="A175" s="7" t="s">
        <v>70</v>
      </c>
      <c r="B175" s="10" t="s">
        <v>71</v>
      </c>
      <c r="C175" s="17">
        <v>45998.0</v>
      </c>
      <c r="D175" s="10" t="s">
        <v>198</v>
      </c>
    </row>
    <row r="176" ht="22.5" customHeight="1">
      <c r="A176" s="7" t="s">
        <v>70</v>
      </c>
      <c r="B176" s="10" t="s">
        <v>71</v>
      </c>
      <c r="C176" s="18">
        <v>46004.0</v>
      </c>
      <c r="D176" s="10" t="s">
        <v>198</v>
      </c>
    </row>
    <row r="177" ht="22.5" customHeight="1">
      <c r="A177" s="7" t="s">
        <v>70</v>
      </c>
      <c r="B177" s="10" t="s">
        <v>71</v>
      </c>
      <c r="C177" s="17">
        <v>46005.0</v>
      </c>
      <c r="D177" s="10" t="s">
        <v>198</v>
      </c>
    </row>
    <row r="178" ht="22.5" customHeight="1">
      <c r="A178" s="7" t="s">
        <v>115</v>
      </c>
      <c r="B178" s="10" t="s">
        <v>117</v>
      </c>
      <c r="C178" s="18">
        <v>45969.0</v>
      </c>
      <c r="D178" s="10" t="s">
        <v>199</v>
      </c>
    </row>
    <row r="179" ht="22.5" customHeight="1">
      <c r="A179" s="7" t="s">
        <v>115</v>
      </c>
      <c r="B179" s="10" t="s">
        <v>117</v>
      </c>
      <c r="C179" s="17">
        <v>45970.0</v>
      </c>
      <c r="D179" s="10" t="s">
        <v>199</v>
      </c>
    </row>
    <row r="180" ht="22.5" customHeight="1">
      <c r="A180" s="7" t="s">
        <v>115</v>
      </c>
      <c r="B180" s="10" t="s">
        <v>117</v>
      </c>
      <c r="C180" s="18">
        <v>45976.0</v>
      </c>
      <c r="D180" s="10" t="s">
        <v>199</v>
      </c>
    </row>
    <row r="181" ht="22.5" customHeight="1">
      <c r="A181" s="7" t="s">
        <v>115</v>
      </c>
      <c r="B181" s="10" t="s">
        <v>117</v>
      </c>
      <c r="C181" s="17">
        <v>45977.0</v>
      </c>
      <c r="D181" s="10" t="s">
        <v>199</v>
      </c>
    </row>
    <row r="182" ht="22.5" customHeight="1">
      <c r="A182" s="7" t="s">
        <v>115</v>
      </c>
      <c r="B182" s="10" t="s">
        <v>117</v>
      </c>
      <c r="C182" s="18">
        <v>45983.0</v>
      </c>
      <c r="D182" s="10" t="s">
        <v>199</v>
      </c>
    </row>
    <row r="183" ht="22.5" customHeight="1">
      <c r="A183" s="7" t="s">
        <v>115</v>
      </c>
      <c r="B183" s="10" t="s">
        <v>117</v>
      </c>
      <c r="C183" s="17">
        <v>45984.0</v>
      </c>
      <c r="D183" s="10" t="s">
        <v>199</v>
      </c>
    </row>
    <row r="184" ht="22.5" customHeight="1">
      <c r="A184" s="7" t="s">
        <v>115</v>
      </c>
      <c r="B184" s="10" t="s">
        <v>117</v>
      </c>
      <c r="C184" s="18">
        <v>45990.0</v>
      </c>
      <c r="D184" s="10" t="s">
        <v>199</v>
      </c>
    </row>
    <row r="185" ht="22.5" customHeight="1">
      <c r="A185" s="7" t="s">
        <v>115</v>
      </c>
      <c r="B185" s="10" t="s">
        <v>117</v>
      </c>
      <c r="C185" s="17">
        <v>45991.0</v>
      </c>
      <c r="D185" s="10" t="s">
        <v>199</v>
      </c>
    </row>
    <row r="186" ht="22.5" customHeight="1">
      <c r="A186" s="7" t="s">
        <v>115</v>
      </c>
      <c r="B186" s="10" t="s">
        <v>117</v>
      </c>
      <c r="C186" s="18">
        <v>45997.0</v>
      </c>
      <c r="D186" s="10" t="s">
        <v>199</v>
      </c>
    </row>
    <row r="187" ht="22.5" customHeight="1">
      <c r="A187" s="7" t="s">
        <v>115</v>
      </c>
      <c r="B187" s="10" t="s">
        <v>117</v>
      </c>
      <c r="C187" s="17">
        <v>45998.0</v>
      </c>
      <c r="D187" s="10" t="s">
        <v>199</v>
      </c>
    </row>
    <row r="188" ht="22.5" customHeight="1">
      <c r="A188" s="7" t="s">
        <v>115</v>
      </c>
      <c r="B188" s="10" t="s">
        <v>117</v>
      </c>
      <c r="C188" s="18">
        <v>46004.0</v>
      </c>
      <c r="D188" s="10" t="s">
        <v>199</v>
      </c>
    </row>
    <row r="189" ht="22.5" customHeight="1">
      <c r="A189" s="7" t="s">
        <v>115</v>
      </c>
      <c r="B189" s="10" t="s">
        <v>117</v>
      </c>
      <c r="C189" s="17">
        <v>46005.0</v>
      </c>
      <c r="D189" s="10" t="s">
        <v>199</v>
      </c>
    </row>
    <row r="190" ht="22.5" customHeight="1">
      <c r="A190" s="7" t="s">
        <v>118</v>
      </c>
      <c r="B190" s="10" t="s">
        <v>119</v>
      </c>
      <c r="C190" s="18">
        <v>45969.0</v>
      </c>
      <c r="D190" s="10" t="s">
        <v>199</v>
      </c>
    </row>
    <row r="191" ht="22.5" customHeight="1">
      <c r="A191" s="7" t="s">
        <v>118</v>
      </c>
      <c r="B191" s="10" t="s">
        <v>119</v>
      </c>
      <c r="C191" s="17">
        <v>45970.0</v>
      </c>
      <c r="D191" s="10" t="s">
        <v>199</v>
      </c>
    </row>
    <row r="192" ht="22.5" customHeight="1">
      <c r="A192" s="7" t="s">
        <v>118</v>
      </c>
      <c r="B192" s="10" t="s">
        <v>119</v>
      </c>
      <c r="C192" s="18">
        <v>45976.0</v>
      </c>
      <c r="D192" s="10" t="s">
        <v>199</v>
      </c>
    </row>
    <row r="193" ht="22.5" customHeight="1">
      <c r="A193" s="7" t="s">
        <v>118</v>
      </c>
      <c r="B193" s="10" t="s">
        <v>119</v>
      </c>
      <c r="C193" s="17">
        <v>45977.0</v>
      </c>
      <c r="D193" s="10" t="s">
        <v>199</v>
      </c>
    </row>
    <row r="194" ht="22.5" customHeight="1">
      <c r="A194" s="7" t="s">
        <v>118</v>
      </c>
      <c r="B194" s="10" t="s">
        <v>119</v>
      </c>
      <c r="C194" s="18">
        <v>45983.0</v>
      </c>
      <c r="D194" s="10" t="s">
        <v>199</v>
      </c>
    </row>
    <row r="195" ht="22.5" customHeight="1">
      <c r="A195" s="7" t="s">
        <v>118</v>
      </c>
      <c r="B195" s="10" t="s">
        <v>119</v>
      </c>
      <c r="C195" s="17">
        <v>45984.0</v>
      </c>
      <c r="D195" s="10" t="s">
        <v>199</v>
      </c>
    </row>
    <row r="196" ht="22.5" customHeight="1">
      <c r="A196" s="7" t="s">
        <v>118</v>
      </c>
      <c r="B196" s="10" t="s">
        <v>119</v>
      </c>
      <c r="C196" s="18">
        <v>45990.0</v>
      </c>
      <c r="D196" s="10" t="s">
        <v>198</v>
      </c>
    </row>
    <row r="197" ht="22.5" customHeight="1">
      <c r="A197" s="7" t="s">
        <v>118</v>
      </c>
      <c r="B197" s="10" t="s">
        <v>119</v>
      </c>
      <c r="C197" s="17">
        <v>45991.0</v>
      </c>
      <c r="D197" s="10" t="s">
        <v>199</v>
      </c>
    </row>
    <row r="198" ht="22.5" customHeight="1">
      <c r="A198" s="7" t="s">
        <v>118</v>
      </c>
      <c r="B198" s="10" t="s">
        <v>119</v>
      </c>
      <c r="C198" s="18">
        <v>45997.0</v>
      </c>
      <c r="D198" s="10" t="s">
        <v>199</v>
      </c>
    </row>
    <row r="199" ht="22.5" customHeight="1">
      <c r="A199" s="7" t="s">
        <v>118</v>
      </c>
      <c r="B199" s="10" t="s">
        <v>119</v>
      </c>
      <c r="C199" s="17">
        <v>45998.0</v>
      </c>
      <c r="D199" s="10" t="s">
        <v>199</v>
      </c>
    </row>
    <row r="200" ht="22.5" customHeight="1">
      <c r="A200" s="7" t="s">
        <v>118</v>
      </c>
      <c r="B200" s="10" t="s">
        <v>119</v>
      </c>
      <c r="C200" s="18">
        <v>46004.0</v>
      </c>
      <c r="D200" s="10" t="s">
        <v>199</v>
      </c>
    </row>
    <row r="201" ht="22.5" customHeight="1">
      <c r="A201" s="7" t="s">
        <v>118</v>
      </c>
      <c r="B201" s="10" t="s">
        <v>119</v>
      </c>
      <c r="C201" s="17">
        <v>46005.0</v>
      </c>
      <c r="D201" s="10" t="s">
        <v>198</v>
      </c>
    </row>
    <row r="202" ht="22.5" customHeight="1">
      <c r="A202" s="7" t="s">
        <v>90</v>
      </c>
      <c r="B202" s="10" t="s">
        <v>91</v>
      </c>
      <c r="C202" s="17">
        <v>45977.0</v>
      </c>
      <c r="D202" s="10" t="s">
        <v>199</v>
      </c>
    </row>
    <row r="203" ht="22.5" customHeight="1">
      <c r="A203" s="7" t="s">
        <v>90</v>
      </c>
      <c r="B203" s="10" t="s">
        <v>91</v>
      </c>
      <c r="C203" s="18">
        <v>45983.0</v>
      </c>
      <c r="D203" s="10" t="s">
        <v>198</v>
      </c>
    </row>
    <row r="204" ht="22.5" customHeight="1">
      <c r="A204" s="7" t="s">
        <v>90</v>
      </c>
      <c r="B204" s="10" t="s">
        <v>91</v>
      </c>
      <c r="C204" s="17">
        <v>45984.0</v>
      </c>
      <c r="D204" s="10" t="s">
        <v>199</v>
      </c>
    </row>
    <row r="205" ht="22.5" customHeight="1">
      <c r="A205" s="7" t="s">
        <v>90</v>
      </c>
      <c r="B205" s="10" t="s">
        <v>91</v>
      </c>
      <c r="C205" s="18">
        <v>45990.0</v>
      </c>
      <c r="D205" s="10" t="s">
        <v>198</v>
      </c>
    </row>
    <row r="206" ht="22.5" customHeight="1">
      <c r="A206" s="7" t="s">
        <v>90</v>
      </c>
      <c r="B206" s="10" t="s">
        <v>91</v>
      </c>
      <c r="C206" s="17">
        <v>45991.0</v>
      </c>
      <c r="D206" s="10" t="s">
        <v>199</v>
      </c>
    </row>
    <row r="207" ht="22.5" customHeight="1">
      <c r="A207" s="7" t="s">
        <v>90</v>
      </c>
      <c r="B207" s="10" t="s">
        <v>91</v>
      </c>
      <c r="C207" s="18">
        <v>45997.0</v>
      </c>
      <c r="D207" s="10" t="s">
        <v>199</v>
      </c>
    </row>
    <row r="208" ht="22.5" customHeight="1">
      <c r="A208" s="7" t="s">
        <v>90</v>
      </c>
      <c r="B208" s="10" t="s">
        <v>91</v>
      </c>
      <c r="C208" s="17">
        <v>45998.0</v>
      </c>
      <c r="D208" s="10" t="s">
        <v>199</v>
      </c>
    </row>
    <row r="209" ht="22.5" customHeight="1">
      <c r="A209" s="7" t="s">
        <v>90</v>
      </c>
      <c r="B209" s="10" t="s">
        <v>91</v>
      </c>
      <c r="C209" s="18">
        <v>46004.0</v>
      </c>
      <c r="D209" s="10" t="s">
        <v>199</v>
      </c>
    </row>
    <row r="210" ht="22.5" customHeight="1">
      <c r="A210" s="7" t="s">
        <v>90</v>
      </c>
      <c r="B210" s="10" t="s">
        <v>91</v>
      </c>
      <c r="C210" s="17">
        <v>46005.0</v>
      </c>
      <c r="D210" s="10" t="s">
        <v>199</v>
      </c>
    </row>
    <row r="211" ht="22.5" customHeight="1">
      <c r="A211" s="7" t="s">
        <v>92</v>
      </c>
      <c r="B211" s="10" t="s">
        <v>93</v>
      </c>
      <c r="C211" s="17">
        <v>45977.0</v>
      </c>
      <c r="D211" s="10" t="s">
        <v>199</v>
      </c>
    </row>
    <row r="212" ht="22.5" customHeight="1">
      <c r="A212" s="7" t="s">
        <v>92</v>
      </c>
      <c r="B212" s="10" t="s">
        <v>93</v>
      </c>
      <c r="C212" s="18">
        <v>45983.0</v>
      </c>
      <c r="D212" s="10" t="s">
        <v>198</v>
      </c>
    </row>
    <row r="213" ht="22.5" customHeight="1">
      <c r="A213" s="7" t="s">
        <v>92</v>
      </c>
      <c r="B213" s="10" t="s">
        <v>93</v>
      </c>
      <c r="C213" s="17">
        <v>45984.0</v>
      </c>
      <c r="D213" s="10" t="s">
        <v>199</v>
      </c>
    </row>
    <row r="214" ht="22.5" customHeight="1">
      <c r="A214" s="7" t="s">
        <v>92</v>
      </c>
      <c r="B214" s="10" t="s">
        <v>93</v>
      </c>
      <c r="C214" s="18">
        <v>45990.0</v>
      </c>
      <c r="D214" s="10" t="s">
        <v>198</v>
      </c>
    </row>
    <row r="215" ht="22.5" customHeight="1">
      <c r="A215" s="7" t="s">
        <v>92</v>
      </c>
      <c r="B215" s="10" t="s">
        <v>93</v>
      </c>
      <c r="C215" s="17">
        <v>45991.0</v>
      </c>
      <c r="D215" s="10" t="s">
        <v>199</v>
      </c>
    </row>
    <row r="216" ht="22.5" customHeight="1">
      <c r="A216" s="7" t="s">
        <v>92</v>
      </c>
      <c r="B216" s="10" t="s">
        <v>93</v>
      </c>
      <c r="C216" s="18">
        <v>45997.0</v>
      </c>
      <c r="D216" s="10" t="s">
        <v>199</v>
      </c>
    </row>
    <row r="217" ht="22.5" customHeight="1">
      <c r="A217" s="7" t="s">
        <v>92</v>
      </c>
      <c r="B217" s="10" t="s">
        <v>93</v>
      </c>
      <c r="C217" s="17">
        <v>45998.0</v>
      </c>
      <c r="D217" s="10" t="s">
        <v>199</v>
      </c>
    </row>
    <row r="218" ht="22.5" customHeight="1">
      <c r="A218" s="7" t="s">
        <v>92</v>
      </c>
      <c r="B218" s="10" t="s">
        <v>93</v>
      </c>
      <c r="C218" s="18">
        <v>46004.0</v>
      </c>
      <c r="D218" s="10" t="s">
        <v>199</v>
      </c>
    </row>
    <row r="219" ht="22.5" customHeight="1">
      <c r="A219" s="7" t="s">
        <v>92</v>
      </c>
      <c r="B219" s="10" t="s">
        <v>93</v>
      </c>
      <c r="C219" s="17">
        <v>46005.0</v>
      </c>
      <c r="D219" s="10" t="s">
        <v>199</v>
      </c>
    </row>
    <row r="220" ht="22.5" customHeight="1">
      <c r="A220" s="7" t="s">
        <v>94</v>
      </c>
      <c r="B220" s="10" t="s">
        <v>95</v>
      </c>
      <c r="C220" s="18">
        <v>45990.0</v>
      </c>
      <c r="D220" s="10" t="s">
        <v>198</v>
      </c>
    </row>
    <row r="221" ht="22.5" customHeight="1">
      <c r="A221" s="7" t="s">
        <v>94</v>
      </c>
      <c r="B221" s="10" t="s">
        <v>95</v>
      </c>
      <c r="C221" s="17">
        <v>45991.0</v>
      </c>
      <c r="D221" s="10" t="s">
        <v>199</v>
      </c>
    </row>
    <row r="222" ht="22.5" customHeight="1">
      <c r="A222" s="7" t="s">
        <v>94</v>
      </c>
      <c r="B222" s="10" t="s">
        <v>95</v>
      </c>
      <c r="C222" s="18">
        <v>45997.0</v>
      </c>
      <c r="D222" s="10" t="s">
        <v>199</v>
      </c>
    </row>
    <row r="223" ht="22.5" customHeight="1">
      <c r="A223" s="7" t="s">
        <v>94</v>
      </c>
      <c r="B223" s="10" t="s">
        <v>95</v>
      </c>
      <c r="C223" s="17">
        <v>45998.0</v>
      </c>
      <c r="D223" s="10" t="s">
        <v>199</v>
      </c>
    </row>
    <row r="224" ht="22.5" customHeight="1">
      <c r="A224" s="7" t="s">
        <v>94</v>
      </c>
      <c r="B224" s="10" t="s">
        <v>95</v>
      </c>
      <c r="C224" s="18">
        <v>46004.0</v>
      </c>
      <c r="D224" s="10" t="s">
        <v>199</v>
      </c>
    </row>
    <row r="225" ht="22.5" customHeight="1">
      <c r="A225" s="7" t="s">
        <v>94</v>
      </c>
      <c r="B225" s="10" t="s">
        <v>95</v>
      </c>
      <c r="C225" s="17">
        <v>46005.0</v>
      </c>
      <c r="D225" s="10" t="s">
        <v>199</v>
      </c>
    </row>
    <row r="226" ht="22.5" customHeight="1">
      <c r="A226" s="7" t="s">
        <v>120</v>
      </c>
      <c r="B226" s="10" t="s">
        <v>121</v>
      </c>
      <c r="C226" s="18">
        <v>45976.0</v>
      </c>
      <c r="D226" s="10" t="s">
        <v>199</v>
      </c>
    </row>
    <row r="227" ht="22.5" customHeight="1">
      <c r="A227" s="7" t="s">
        <v>120</v>
      </c>
      <c r="B227" s="10" t="s">
        <v>121</v>
      </c>
      <c r="C227" s="17">
        <v>45977.0</v>
      </c>
      <c r="D227" s="10" t="s">
        <v>199</v>
      </c>
    </row>
    <row r="228" ht="22.5" customHeight="1">
      <c r="A228" s="7" t="s">
        <v>120</v>
      </c>
      <c r="B228" s="10" t="s">
        <v>121</v>
      </c>
      <c r="C228" s="18">
        <v>45983.0</v>
      </c>
      <c r="D228" s="10" t="s">
        <v>199</v>
      </c>
    </row>
    <row r="229" ht="22.5" customHeight="1">
      <c r="A229" s="7" t="s">
        <v>120</v>
      </c>
      <c r="B229" s="10" t="s">
        <v>121</v>
      </c>
      <c r="C229" s="17">
        <v>45984.0</v>
      </c>
      <c r="D229" s="10" t="s">
        <v>198</v>
      </c>
    </row>
    <row r="230" ht="22.5" customHeight="1">
      <c r="A230" s="7" t="s">
        <v>120</v>
      </c>
      <c r="B230" s="10" t="s">
        <v>121</v>
      </c>
      <c r="C230" s="18">
        <v>45990.0</v>
      </c>
      <c r="D230" s="10" t="s">
        <v>198</v>
      </c>
    </row>
    <row r="231" ht="22.5" customHeight="1">
      <c r="A231" s="7" t="s">
        <v>120</v>
      </c>
      <c r="B231" s="10" t="s">
        <v>121</v>
      </c>
      <c r="C231" s="17">
        <v>45991.0</v>
      </c>
      <c r="D231" s="10" t="s">
        <v>199</v>
      </c>
    </row>
    <row r="232" ht="22.5" customHeight="1">
      <c r="A232" s="7" t="s">
        <v>120</v>
      </c>
      <c r="B232" s="10" t="s">
        <v>121</v>
      </c>
      <c r="C232" s="18">
        <v>45997.0</v>
      </c>
      <c r="D232" s="10" t="s">
        <v>198</v>
      </c>
    </row>
    <row r="233" ht="22.5" customHeight="1">
      <c r="A233" s="7" t="s">
        <v>120</v>
      </c>
      <c r="B233" s="10" t="s">
        <v>121</v>
      </c>
      <c r="C233" s="17">
        <v>45998.0</v>
      </c>
      <c r="D233" s="10" t="s">
        <v>198</v>
      </c>
    </row>
    <row r="234" ht="22.5" customHeight="1">
      <c r="A234" s="7" t="s">
        <v>120</v>
      </c>
      <c r="B234" s="10" t="s">
        <v>121</v>
      </c>
      <c r="C234" s="18">
        <v>46004.0</v>
      </c>
      <c r="D234" s="10" t="s">
        <v>199</v>
      </c>
    </row>
    <row r="235" ht="22.5" customHeight="1">
      <c r="A235" s="7" t="s">
        <v>120</v>
      </c>
      <c r="B235" s="10" t="s">
        <v>121</v>
      </c>
      <c r="C235" s="17">
        <v>46005.0</v>
      </c>
      <c r="D235" s="10" t="s">
        <v>199</v>
      </c>
    </row>
    <row r="236" ht="22.5" customHeight="1">
      <c r="A236" s="7" t="s">
        <v>109</v>
      </c>
      <c r="B236" s="10" t="s">
        <v>110</v>
      </c>
      <c r="C236" s="18">
        <v>45990.0</v>
      </c>
      <c r="D236" s="10" t="s">
        <v>199</v>
      </c>
    </row>
    <row r="237" ht="22.5" customHeight="1">
      <c r="A237" s="7" t="s">
        <v>109</v>
      </c>
      <c r="B237" s="10" t="s">
        <v>110</v>
      </c>
      <c r="C237" s="17">
        <v>45991.0</v>
      </c>
      <c r="D237" s="10" t="s">
        <v>199</v>
      </c>
    </row>
    <row r="238" ht="22.5" customHeight="1">
      <c r="A238" s="7" t="s">
        <v>109</v>
      </c>
      <c r="B238" s="10" t="s">
        <v>110</v>
      </c>
      <c r="C238" s="18">
        <v>45997.0</v>
      </c>
      <c r="D238" s="10" t="s">
        <v>199</v>
      </c>
    </row>
    <row r="239" ht="22.5" customHeight="1">
      <c r="A239" s="7" t="s">
        <v>109</v>
      </c>
      <c r="B239" s="10" t="s">
        <v>110</v>
      </c>
      <c r="C239" s="17">
        <v>45998.0</v>
      </c>
      <c r="D239" s="10" t="s">
        <v>199</v>
      </c>
    </row>
    <row r="240" ht="22.5" customHeight="1">
      <c r="A240" s="7" t="s">
        <v>109</v>
      </c>
      <c r="B240" s="10" t="s">
        <v>110</v>
      </c>
      <c r="C240" s="18">
        <v>46004.0</v>
      </c>
      <c r="D240" s="10" t="s">
        <v>198</v>
      </c>
    </row>
    <row r="241" ht="22.5" customHeight="1">
      <c r="A241" s="7" t="s">
        <v>109</v>
      </c>
      <c r="B241" s="10" t="s">
        <v>110</v>
      </c>
      <c r="C241" s="17">
        <v>46005.0</v>
      </c>
      <c r="D241" s="10" t="s">
        <v>198</v>
      </c>
    </row>
    <row r="242" ht="22.5" customHeight="1">
      <c r="A242" s="7" t="s">
        <v>111</v>
      </c>
      <c r="B242" s="10" t="s">
        <v>112</v>
      </c>
      <c r="C242" s="18">
        <v>45990.0</v>
      </c>
      <c r="D242" s="10" t="s">
        <v>199</v>
      </c>
    </row>
    <row r="243" ht="22.5" customHeight="1">
      <c r="A243" s="7" t="s">
        <v>111</v>
      </c>
      <c r="B243" s="10" t="s">
        <v>112</v>
      </c>
      <c r="C243" s="17">
        <v>45991.0</v>
      </c>
      <c r="D243" s="10" t="s">
        <v>199</v>
      </c>
    </row>
    <row r="244" ht="22.5" customHeight="1">
      <c r="A244" s="7" t="s">
        <v>111</v>
      </c>
      <c r="B244" s="10" t="s">
        <v>112</v>
      </c>
      <c r="C244" s="18">
        <v>45997.0</v>
      </c>
      <c r="D244" s="10" t="s">
        <v>199</v>
      </c>
    </row>
    <row r="245" ht="22.5" customHeight="1">
      <c r="A245" s="7" t="s">
        <v>111</v>
      </c>
      <c r="B245" s="10" t="s">
        <v>112</v>
      </c>
      <c r="C245" s="17">
        <v>45998.0</v>
      </c>
      <c r="D245" s="10" t="s">
        <v>199</v>
      </c>
    </row>
    <row r="246" ht="22.5" customHeight="1">
      <c r="A246" s="7" t="s">
        <v>111</v>
      </c>
      <c r="B246" s="10" t="s">
        <v>112</v>
      </c>
      <c r="C246" s="18">
        <v>46004.0</v>
      </c>
      <c r="D246" s="10" t="s">
        <v>199</v>
      </c>
    </row>
    <row r="247" ht="22.5" customHeight="1">
      <c r="A247" s="7" t="s">
        <v>111</v>
      </c>
      <c r="B247" s="10" t="s">
        <v>112</v>
      </c>
      <c r="C247" s="17">
        <v>46005.0</v>
      </c>
      <c r="D247" s="10" t="s">
        <v>199</v>
      </c>
    </row>
    <row r="248" ht="22.5" customHeight="1">
      <c r="A248" s="7" t="s">
        <v>122</v>
      </c>
      <c r="B248" s="10" t="s">
        <v>123</v>
      </c>
      <c r="C248" s="18">
        <v>45976.0</v>
      </c>
      <c r="D248" s="10" t="s">
        <v>199</v>
      </c>
    </row>
    <row r="249" ht="22.5" customHeight="1">
      <c r="A249" s="7" t="s">
        <v>122</v>
      </c>
      <c r="B249" s="10" t="s">
        <v>123</v>
      </c>
      <c r="C249" s="17">
        <v>45977.0</v>
      </c>
      <c r="D249" s="10" t="s">
        <v>199</v>
      </c>
    </row>
    <row r="250" ht="22.5" customHeight="1">
      <c r="A250" s="7" t="s">
        <v>122</v>
      </c>
      <c r="B250" s="10" t="s">
        <v>123</v>
      </c>
      <c r="C250" s="18">
        <v>45983.0</v>
      </c>
      <c r="D250" s="10" t="s">
        <v>199</v>
      </c>
    </row>
    <row r="251" ht="22.5" customHeight="1">
      <c r="A251" s="7" t="s">
        <v>122</v>
      </c>
      <c r="B251" s="10" t="s">
        <v>123</v>
      </c>
      <c r="C251" s="17">
        <v>45984.0</v>
      </c>
      <c r="D251" s="10" t="s">
        <v>199</v>
      </c>
    </row>
    <row r="252" ht="22.5" customHeight="1">
      <c r="A252" s="7" t="s">
        <v>122</v>
      </c>
      <c r="B252" s="10" t="s">
        <v>123</v>
      </c>
      <c r="C252" s="18">
        <v>45990.0</v>
      </c>
      <c r="D252" s="10" t="s">
        <v>199</v>
      </c>
    </row>
    <row r="253" ht="22.5" customHeight="1">
      <c r="A253" s="7" t="s">
        <v>122</v>
      </c>
      <c r="B253" s="10" t="s">
        <v>123</v>
      </c>
      <c r="C253" s="17">
        <v>45991.0</v>
      </c>
      <c r="D253" s="10" t="s">
        <v>199</v>
      </c>
    </row>
    <row r="254" ht="22.5" customHeight="1">
      <c r="A254" s="7" t="s">
        <v>122</v>
      </c>
      <c r="B254" s="10" t="s">
        <v>123</v>
      </c>
      <c r="C254" s="18">
        <v>45997.0</v>
      </c>
      <c r="D254" s="10" t="s">
        <v>199</v>
      </c>
    </row>
    <row r="255" ht="22.5" customHeight="1">
      <c r="A255" s="7" t="s">
        <v>122</v>
      </c>
      <c r="B255" s="10" t="s">
        <v>123</v>
      </c>
      <c r="C255" s="17">
        <v>45998.0</v>
      </c>
      <c r="D255" s="10" t="s">
        <v>199</v>
      </c>
    </row>
    <row r="256" ht="22.5" customHeight="1">
      <c r="A256" s="7" t="s">
        <v>122</v>
      </c>
      <c r="B256" s="10" t="s">
        <v>123</v>
      </c>
      <c r="C256" s="18">
        <v>46004.0</v>
      </c>
      <c r="D256" s="10" t="s">
        <v>199</v>
      </c>
    </row>
    <row r="257" ht="22.5" customHeight="1">
      <c r="A257" s="7" t="s">
        <v>122</v>
      </c>
      <c r="B257" s="10" t="s">
        <v>123</v>
      </c>
      <c r="C257" s="17">
        <v>46005.0</v>
      </c>
      <c r="D257" s="10" t="s">
        <v>199</v>
      </c>
    </row>
    <row r="258" ht="22.5" customHeight="1">
      <c r="A258" s="7" t="s">
        <v>107</v>
      </c>
      <c r="B258" s="10" t="s">
        <v>108</v>
      </c>
      <c r="C258" s="18">
        <v>45976.0</v>
      </c>
      <c r="D258" s="10" t="s">
        <v>199</v>
      </c>
    </row>
    <row r="259" ht="22.5" customHeight="1">
      <c r="A259" s="7" t="s">
        <v>107</v>
      </c>
      <c r="B259" s="10" t="s">
        <v>108</v>
      </c>
      <c r="C259" s="17">
        <v>45977.0</v>
      </c>
      <c r="D259" s="10" t="s">
        <v>199</v>
      </c>
    </row>
    <row r="260" ht="22.5" customHeight="1">
      <c r="A260" s="7" t="s">
        <v>107</v>
      </c>
      <c r="B260" s="10" t="s">
        <v>108</v>
      </c>
      <c r="C260" s="18">
        <v>45983.0</v>
      </c>
      <c r="D260" s="10" t="s">
        <v>199</v>
      </c>
    </row>
    <row r="261" ht="22.5" customHeight="1">
      <c r="A261" s="7" t="s">
        <v>107</v>
      </c>
      <c r="B261" s="10" t="s">
        <v>108</v>
      </c>
      <c r="C261" s="17">
        <v>45984.0</v>
      </c>
      <c r="D261" s="10" t="s">
        <v>199</v>
      </c>
    </row>
    <row r="262" ht="22.5" customHeight="1">
      <c r="A262" s="7" t="s">
        <v>107</v>
      </c>
      <c r="B262" s="10" t="s">
        <v>108</v>
      </c>
      <c r="C262" s="18">
        <v>45990.0</v>
      </c>
      <c r="D262" s="10" t="s">
        <v>199</v>
      </c>
    </row>
    <row r="263" ht="22.5" customHeight="1">
      <c r="A263" s="7" t="s">
        <v>107</v>
      </c>
      <c r="B263" s="10" t="s">
        <v>108</v>
      </c>
      <c r="C263" s="17">
        <v>45991.0</v>
      </c>
      <c r="D263" s="10" t="s">
        <v>199</v>
      </c>
    </row>
    <row r="264" ht="22.5" customHeight="1">
      <c r="A264" s="7" t="s">
        <v>107</v>
      </c>
      <c r="B264" s="10" t="s">
        <v>108</v>
      </c>
      <c r="C264" s="18">
        <v>45997.0</v>
      </c>
      <c r="D264" s="10" t="s">
        <v>198</v>
      </c>
    </row>
    <row r="265" ht="22.5" customHeight="1">
      <c r="A265" s="7" t="s">
        <v>107</v>
      </c>
      <c r="B265" s="10" t="s">
        <v>108</v>
      </c>
      <c r="C265" s="17">
        <v>45998.0</v>
      </c>
      <c r="D265" s="10" t="s">
        <v>198</v>
      </c>
    </row>
    <row r="266" ht="22.5" customHeight="1">
      <c r="A266" s="7" t="s">
        <v>107</v>
      </c>
      <c r="B266" s="10" t="s">
        <v>108</v>
      </c>
      <c r="C266" s="18">
        <v>46004.0</v>
      </c>
      <c r="D266" s="10" t="s">
        <v>199</v>
      </c>
    </row>
    <row r="267" ht="22.5" customHeight="1">
      <c r="A267" s="7" t="s">
        <v>107</v>
      </c>
      <c r="B267" s="10" t="s">
        <v>108</v>
      </c>
      <c r="C267" s="17">
        <v>46005.0</v>
      </c>
      <c r="D267" s="10" t="s">
        <v>199</v>
      </c>
    </row>
    <row r="268" ht="22.5" customHeight="1">
      <c r="A268" s="7" t="s">
        <v>124</v>
      </c>
      <c r="B268" s="10" t="s">
        <v>125</v>
      </c>
      <c r="C268" s="17">
        <v>45977.0</v>
      </c>
      <c r="D268" s="10" t="s">
        <v>199</v>
      </c>
    </row>
    <row r="269" ht="22.5" customHeight="1">
      <c r="A269" s="7" t="s">
        <v>124</v>
      </c>
      <c r="B269" s="10" t="s">
        <v>125</v>
      </c>
      <c r="C269" s="18">
        <v>45983.0</v>
      </c>
      <c r="D269" s="10" t="s">
        <v>199</v>
      </c>
    </row>
    <row r="270" ht="22.5" customHeight="1">
      <c r="A270" s="7" t="s">
        <v>124</v>
      </c>
      <c r="B270" s="10" t="s">
        <v>125</v>
      </c>
      <c r="C270" s="17">
        <v>45984.0</v>
      </c>
      <c r="D270" s="10" t="s">
        <v>199</v>
      </c>
    </row>
    <row r="271" ht="22.5" customHeight="1">
      <c r="A271" s="7" t="s">
        <v>124</v>
      </c>
      <c r="B271" s="10" t="s">
        <v>125</v>
      </c>
      <c r="C271" s="18">
        <v>45990.0</v>
      </c>
      <c r="D271" s="10" t="s">
        <v>198</v>
      </c>
    </row>
    <row r="272" ht="22.5" customHeight="1">
      <c r="A272" s="7" t="s">
        <v>124</v>
      </c>
      <c r="B272" s="10" t="s">
        <v>125</v>
      </c>
      <c r="C272" s="17">
        <v>45991.0</v>
      </c>
      <c r="D272" s="10" t="s">
        <v>198</v>
      </c>
    </row>
    <row r="273" ht="22.5" customHeight="1">
      <c r="A273" s="7" t="s">
        <v>124</v>
      </c>
      <c r="B273" s="10" t="s">
        <v>125</v>
      </c>
      <c r="C273" s="18">
        <v>45997.0</v>
      </c>
      <c r="D273" s="10" t="s">
        <v>199</v>
      </c>
    </row>
    <row r="274" ht="22.5" customHeight="1">
      <c r="A274" s="7" t="s">
        <v>124</v>
      </c>
      <c r="B274" s="10" t="s">
        <v>125</v>
      </c>
      <c r="C274" s="17">
        <v>45998.0</v>
      </c>
      <c r="D274" s="10" t="s">
        <v>199</v>
      </c>
    </row>
    <row r="275" ht="22.5" customHeight="1">
      <c r="A275" s="7" t="s">
        <v>124</v>
      </c>
      <c r="B275" s="10" t="s">
        <v>125</v>
      </c>
      <c r="C275" s="18">
        <v>46004.0</v>
      </c>
      <c r="D275" s="10" t="s">
        <v>199</v>
      </c>
    </row>
    <row r="276" ht="22.5" customHeight="1">
      <c r="A276" s="7" t="s">
        <v>124</v>
      </c>
      <c r="B276" s="10" t="s">
        <v>125</v>
      </c>
      <c r="C276" s="17">
        <v>46005.0</v>
      </c>
      <c r="D276" s="10" t="s">
        <v>198</v>
      </c>
    </row>
    <row r="277" ht="22.5" customHeight="1">
      <c r="A277" s="7" t="s">
        <v>113</v>
      </c>
      <c r="B277" s="10" t="s">
        <v>114</v>
      </c>
      <c r="C277" s="17">
        <v>45991.0</v>
      </c>
      <c r="D277" s="10" t="s">
        <v>199</v>
      </c>
    </row>
    <row r="278" ht="22.5" customHeight="1">
      <c r="A278" s="7" t="s">
        <v>113</v>
      </c>
      <c r="B278" s="10" t="s">
        <v>114</v>
      </c>
      <c r="C278" s="18">
        <v>45997.0</v>
      </c>
      <c r="D278" s="10" t="s">
        <v>199</v>
      </c>
    </row>
    <row r="279" ht="22.5" customHeight="1">
      <c r="A279" s="7" t="s">
        <v>113</v>
      </c>
      <c r="B279" s="10" t="s">
        <v>114</v>
      </c>
      <c r="C279" s="17">
        <v>45998.0</v>
      </c>
      <c r="D279" s="10" t="s">
        <v>199</v>
      </c>
    </row>
    <row r="280" ht="22.5" customHeight="1">
      <c r="A280" s="7" t="s">
        <v>113</v>
      </c>
      <c r="B280" s="10" t="s">
        <v>114</v>
      </c>
      <c r="C280" s="18">
        <v>46004.0</v>
      </c>
      <c r="D280" s="10" t="s">
        <v>199</v>
      </c>
    </row>
    <row r="281" ht="22.5" customHeight="1">
      <c r="A281" s="7" t="s">
        <v>113</v>
      </c>
      <c r="B281" s="10" t="s">
        <v>114</v>
      </c>
      <c r="C281" s="17">
        <v>46005.0</v>
      </c>
      <c r="D281" s="10" t="s">
        <v>199</v>
      </c>
    </row>
    <row r="282" ht="22.5" customHeight="1">
      <c r="A282" s="7" t="s">
        <v>126</v>
      </c>
      <c r="B282" s="10" t="s">
        <v>127</v>
      </c>
      <c r="C282" s="18">
        <v>45997.0</v>
      </c>
      <c r="D282" s="10" t="s">
        <v>199</v>
      </c>
    </row>
    <row r="283" ht="22.5" customHeight="1">
      <c r="A283" s="7" t="s">
        <v>126</v>
      </c>
      <c r="B283" s="10" t="s">
        <v>127</v>
      </c>
      <c r="C283" s="17">
        <v>45998.0</v>
      </c>
      <c r="D283" s="10" t="s">
        <v>200</v>
      </c>
    </row>
    <row r="284" ht="22.5" customHeight="1">
      <c r="A284" s="7" t="s">
        <v>126</v>
      </c>
      <c r="B284" s="10" t="s">
        <v>127</v>
      </c>
      <c r="C284" s="18">
        <v>46004.0</v>
      </c>
      <c r="D284" s="10" t="s">
        <v>199</v>
      </c>
    </row>
    <row r="285" ht="22.5" customHeight="1">
      <c r="A285" s="7" t="s">
        <v>126</v>
      </c>
      <c r="B285" s="10" t="s">
        <v>127</v>
      </c>
      <c r="C285" s="17">
        <v>46005.0</v>
      </c>
      <c r="D285" s="10" t="s">
        <v>199</v>
      </c>
    </row>
    <row r="286" ht="22.5" customHeight="1">
      <c r="A286" s="7" t="s">
        <v>74</v>
      </c>
      <c r="B286" s="10" t="s">
        <v>75</v>
      </c>
      <c r="C286" s="18">
        <v>46004.0</v>
      </c>
      <c r="D286" s="10" t="s">
        <v>199</v>
      </c>
    </row>
    <row r="287" ht="22.5" customHeight="1">
      <c r="A287" s="7" t="s">
        <v>74</v>
      </c>
      <c r="B287" s="10" t="s">
        <v>75</v>
      </c>
      <c r="C287" s="17">
        <v>46005.0</v>
      </c>
      <c r="D287" s="10" t="s">
        <v>199</v>
      </c>
    </row>
    <row r="288" ht="22.5" customHeight="1">
      <c r="A288" s="7" t="s">
        <v>128</v>
      </c>
      <c r="B288" s="10" t="s">
        <v>129</v>
      </c>
      <c r="C288" s="17">
        <v>46005.0</v>
      </c>
      <c r="D288" s="10" t="s">
        <v>199</v>
      </c>
    </row>
    <row r="289" ht="22.5" customHeight="1">
      <c r="A289" s="7" t="s">
        <v>53</v>
      </c>
      <c r="B289" s="10" t="s">
        <v>44</v>
      </c>
      <c r="C289" s="13">
        <v>46011.0</v>
      </c>
      <c r="D289" s="10" t="s">
        <v>199</v>
      </c>
    </row>
    <row r="290" ht="22.5" customHeight="1">
      <c r="A290" s="7" t="s">
        <v>49</v>
      </c>
      <c r="B290" s="10" t="s">
        <v>50</v>
      </c>
      <c r="C290" s="13">
        <v>46011.0</v>
      </c>
      <c r="D290" s="10" t="s">
        <v>199</v>
      </c>
    </row>
    <row r="291" ht="22.5" customHeight="1">
      <c r="A291" s="7" t="s">
        <v>51</v>
      </c>
      <c r="B291" s="10" t="s">
        <v>84</v>
      </c>
      <c r="C291" s="13">
        <v>46011.0</v>
      </c>
      <c r="D291" s="10" t="s">
        <v>198</v>
      </c>
    </row>
    <row r="292" ht="22.5" customHeight="1">
      <c r="A292" s="7" t="s">
        <v>85</v>
      </c>
      <c r="B292" s="10" t="s">
        <v>86</v>
      </c>
      <c r="C292" s="13">
        <v>46011.0</v>
      </c>
      <c r="D292" s="10" t="s">
        <v>199</v>
      </c>
    </row>
    <row r="293" ht="22.5" customHeight="1">
      <c r="A293" s="7" t="s">
        <v>58</v>
      </c>
      <c r="B293" s="10" t="s">
        <v>59</v>
      </c>
      <c r="C293" s="13">
        <v>46011.0</v>
      </c>
      <c r="D293" s="10" t="s">
        <v>198</v>
      </c>
    </row>
    <row r="294" ht="22.5" customHeight="1">
      <c r="A294" s="7" t="s">
        <v>61</v>
      </c>
      <c r="B294" s="10" t="s">
        <v>87</v>
      </c>
      <c r="C294" s="13">
        <v>46011.0</v>
      </c>
      <c r="D294" s="10" t="s">
        <v>199</v>
      </c>
    </row>
    <row r="295" ht="22.5" customHeight="1">
      <c r="A295" s="7" t="s">
        <v>88</v>
      </c>
      <c r="B295" s="10" t="s">
        <v>89</v>
      </c>
      <c r="C295" s="13">
        <v>46011.0</v>
      </c>
      <c r="D295" s="10" t="s">
        <v>199</v>
      </c>
    </row>
    <row r="296" ht="22.5" customHeight="1">
      <c r="A296" s="7" t="s">
        <v>70</v>
      </c>
      <c r="B296" s="10" t="s">
        <v>71</v>
      </c>
      <c r="C296" s="13">
        <v>46011.0</v>
      </c>
      <c r="D296" s="10" t="s">
        <v>198</v>
      </c>
    </row>
    <row r="297" ht="22.5" customHeight="1">
      <c r="A297" s="7" t="s">
        <v>115</v>
      </c>
      <c r="B297" s="10" t="s">
        <v>117</v>
      </c>
      <c r="C297" s="13">
        <v>46011.0</v>
      </c>
      <c r="D297" s="10" t="s">
        <v>199</v>
      </c>
    </row>
    <row r="298" ht="22.5" customHeight="1">
      <c r="A298" s="7" t="s">
        <v>118</v>
      </c>
      <c r="B298" s="10" t="s">
        <v>119</v>
      </c>
      <c r="C298" s="13">
        <v>46011.0</v>
      </c>
      <c r="D298" s="10" t="s">
        <v>198</v>
      </c>
    </row>
    <row r="299" ht="22.5" customHeight="1">
      <c r="A299" s="7" t="s">
        <v>90</v>
      </c>
      <c r="B299" s="10" t="s">
        <v>91</v>
      </c>
      <c r="C299" s="13">
        <v>46011.0</v>
      </c>
      <c r="D299" s="10" t="s">
        <v>198</v>
      </c>
    </row>
    <row r="300" ht="22.5" customHeight="1">
      <c r="A300" s="7" t="s">
        <v>92</v>
      </c>
      <c r="B300" s="10" t="s">
        <v>93</v>
      </c>
      <c r="C300" s="13">
        <v>46011.0</v>
      </c>
      <c r="D300" s="10" t="s">
        <v>199</v>
      </c>
    </row>
    <row r="301" ht="22.5" customHeight="1">
      <c r="A301" s="7" t="s">
        <v>94</v>
      </c>
      <c r="B301" s="10" t="s">
        <v>95</v>
      </c>
      <c r="C301" s="13">
        <v>46011.0</v>
      </c>
      <c r="D301" s="10" t="s">
        <v>199</v>
      </c>
    </row>
    <row r="302" ht="22.5" customHeight="1">
      <c r="A302" s="7" t="s">
        <v>120</v>
      </c>
      <c r="B302" s="10" t="s">
        <v>121</v>
      </c>
      <c r="C302" s="13">
        <v>46011.0</v>
      </c>
      <c r="D302" s="10" t="s">
        <v>198</v>
      </c>
    </row>
    <row r="303" ht="22.5" customHeight="1">
      <c r="A303" s="7" t="s">
        <v>109</v>
      </c>
      <c r="B303" s="10" t="s">
        <v>110</v>
      </c>
      <c r="C303" s="13">
        <v>46011.0</v>
      </c>
      <c r="D303" s="10" t="s">
        <v>198</v>
      </c>
    </row>
    <row r="304" ht="22.5" customHeight="1">
      <c r="A304" s="7" t="s">
        <v>122</v>
      </c>
      <c r="B304" s="10" t="s">
        <v>123</v>
      </c>
      <c r="C304" s="13">
        <v>46011.0</v>
      </c>
      <c r="D304" s="10" t="s">
        <v>199</v>
      </c>
    </row>
    <row r="305" ht="22.5" customHeight="1">
      <c r="A305" s="7" t="s">
        <v>111</v>
      </c>
      <c r="B305" s="10" t="s">
        <v>112</v>
      </c>
      <c r="C305" s="13">
        <v>46011.0</v>
      </c>
      <c r="D305" s="10" t="s">
        <v>200</v>
      </c>
    </row>
    <row r="306" ht="22.5" customHeight="1">
      <c r="A306" s="7" t="s">
        <v>107</v>
      </c>
      <c r="B306" s="10" t="s">
        <v>108</v>
      </c>
      <c r="C306" s="13">
        <v>46011.0</v>
      </c>
      <c r="D306" s="10" t="s">
        <v>199</v>
      </c>
    </row>
    <row r="307" ht="22.5" customHeight="1">
      <c r="A307" s="7" t="s">
        <v>124</v>
      </c>
      <c r="B307" s="10" t="s">
        <v>125</v>
      </c>
      <c r="C307" s="13">
        <v>46011.0</v>
      </c>
      <c r="D307" s="10" t="s">
        <v>198</v>
      </c>
    </row>
    <row r="308" ht="22.5" customHeight="1">
      <c r="A308" s="7" t="s">
        <v>113</v>
      </c>
      <c r="B308" s="10" t="s">
        <v>114</v>
      </c>
      <c r="C308" s="13">
        <v>46011.0</v>
      </c>
      <c r="D308" s="10" t="s">
        <v>199</v>
      </c>
    </row>
    <row r="309" ht="22.5" customHeight="1">
      <c r="A309" s="7" t="s">
        <v>126</v>
      </c>
      <c r="B309" s="10" t="s">
        <v>127</v>
      </c>
      <c r="C309" s="13">
        <v>46011.0</v>
      </c>
      <c r="D309" s="10" t="s">
        <v>199</v>
      </c>
    </row>
    <row r="310" ht="22.5" customHeight="1">
      <c r="A310" s="7" t="s">
        <v>74</v>
      </c>
      <c r="B310" s="10" t="s">
        <v>75</v>
      </c>
      <c r="C310" s="13">
        <v>46011.0</v>
      </c>
      <c r="D310" s="10" t="s">
        <v>199</v>
      </c>
    </row>
    <row r="311" ht="22.5" customHeight="1">
      <c r="A311" s="7" t="s">
        <v>128</v>
      </c>
      <c r="B311" s="10" t="s">
        <v>129</v>
      </c>
      <c r="C311" s="13">
        <v>46011.0</v>
      </c>
      <c r="D311" s="10" t="s">
        <v>198</v>
      </c>
    </row>
    <row r="312" ht="22.5" customHeight="1">
      <c r="A312" s="7" t="s">
        <v>96</v>
      </c>
      <c r="B312" s="8"/>
      <c r="C312" s="9"/>
      <c r="D312" s="8"/>
    </row>
    <row r="313" ht="22.5" customHeight="1">
      <c r="A313" s="7" t="s">
        <v>96</v>
      </c>
      <c r="B313" s="8"/>
      <c r="C313" s="9"/>
      <c r="D313" s="8"/>
    </row>
    <row r="314" ht="22.5" customHeight="1">
      <c r="A314" s="7" t="s">
        <v>96</v>
      </c>
      <c r="B314" s="8"/>
      <c r="C314" s="9"/>
      <c r="D314" s="8"/>
    </row>
    <row r="315" ht="22.5" customHeight="1">
      <c r="A315" s="7" t="s">
        <v>96</v>
      </c>
      <c r="B315" s="8"/>
      <c r="C315" s="9"/>
      <c r="D315" s="8"/>
    </row>
    <row r="316" ht="22.5" customHeight="1">
      <c r="A316" s="7" t="s">
        <v>96</v>
      </c>
      <c r="B316" s="8"/>
      <c r="C316" s="9"/>
      <c r="D316" s="8"/>
    </row>
    <row r="317" ht="22.5" customHeight="1">
      <c r="A317" s="7" t="s">
        <v>96</v>
      </c>
      <c r="B317" s="8"/>
      <c r="C317" s="9"/>
      <c r="D317" s="8"/>
    </row>
    <row r="318" ht="22.5" customHeight="1">
      <c r="A318" s="7" t="s">
        <v>96</v>
      </c>
      <c r="B318" s="8"/>
      <c r="C318" s="9"/>
      <c r="D318" s="8"/>
    </row>
    <row r="319" ht="22.5" customHeight="1">
      <c r="A319" s="7" t="s">
        <v>96</v>
      </c>
      <c r="B319" s="8"/>
      <c r="C319" s="9"/>
      <c r="D319" s="8"/>
    </row>
    <row r="320" ht="22.5" customHeight="1">
      <c r="A320" s="7" t="s">
        <v>96</v>
      </c>
      <c r="B320" s="8"/>
      <c r="C320" s="9"/>
      <c r="D320" s="8"/>
    </row>
    <row r="321" ht="22.5" customHeight="1">
      <c r="A321" s="7" t="s">
        <v>96</v>
      </c>
      <c r="B321" s="8"/>
      <c r="C321" s="9"/>
      <c r="D321" s="8"/>
    </row>
    <row r="322" ht="22.5" customHeight="1">
      <c r="A322" s="7" t="s">
        <v>96</v>
      </c>
      <c r="B322" s="8"/>
      <c r="C322" s="9"/>
      <c r="D322" s="8"/>
    </row>
    <row r="323" ht="22.5" customHeight="1">
      <c r="A323" s="7" t="s">
        <v>96</v>
      </c>
      <c r="B323" s="8"/>
      <c r="C323" s="9"/>
      <c r="D323" s="8"/>
    </row>
    <row r="324" ht="22.5" customHeight="1">
      <c r="A324" s="7" t="s">
        <v>96</v>
      </c>
      <c r="B324" s="8"/>
      <c r="C324" s="9"/>
      <c r="D324" s="8"/>
    </row>
    <row r="325" ht="22.5" customHeight="1">
      <c r="A325" s="7" t="s">
        <v>96</v>
      </c>
      <c r="B325" s="8"/>
      <c r="C325" s="9"/>
      <c r="D325" s="8"/>
    </row>
    <row r="326" ht="22.5" customHeight="1">
      <c r="A326" s="7" t="s">
        <v>96</v>
      </c>
      <c r="B326" s="8"/>
      <c r="C326" s="9"/>
      <c r="D326" s="8"/>
    </row>
    <row r="327" ht="22.5" customHeight="1">
      <c r="A327" s="7" t="s">
        <v>96</v>
      </c>
      <c r="B327" s="8"/>
      <c r="C327" s="9"/>
      <c r="D327" s="8"/>
    </row>
    <row r="328" ht="22.5" customHeight="1">
      <c r="A328" s="7" t="s">
        <v>96</v>
      </c>
      <c r="B328" s="8"/>
      <c r="C328" s="9"/>
      <c r="D328" s="8"/>
    </row>
    <row r="329" ht="22.5" customHeight="1">
      <c r="A329" s="7" t="s">
        <v>96</v>
      </c>
      <c r="B329" s="8"/>
      <c r="C329" s="9"/>
      <c r="D329" s="8"/>
    </row>
    <row r="330" ht="22.5" customHeight="1">
      <c r="A330" s="7" t="s">
        <v>96</v>
      </c>
      <c r="B330" s="8"/>
      <c r="C330" s="9"/>
      <c r="D330" s="8"/>
    </row>
    <row r="331" ht="22.5" customHeight="1">
      <c r="A331" s="7" t="s">
        <v>96</v>
      </c>
      <c r="B331" s="8"/>
      <c r="C331" s="9"/>
      <c r="D331" s="8"/>
    </row>
    <row r="332" ht="22.5" customHeight="1">
      <c r="A332" s="7" t="s">
        <v>96</v>
      </c>
      <c r="B332" s="8"/>
      <c r="C332" s="9"/>
      <c r="D332" s="8"/>
    </row>
    <row r="333" ht="22.5" customHeight="1">
      <c r="A333" s="7" t="s">
        <v>96</v>
      </c>
      <c r="B333" s="8"/>
      <c r="C333" s="9"/>
      <c r="D333" s="8"/>
    </row>
    <row r="334" ht="22.5" customHeight="1">
      <c r="A334" s="7" t="s">
        <v>96</v>
      </c>
      <c r="B334" s="8"/>
      <c r="C334" s="9"/>
      <c r="D334" s="8"/>
    </row>
    <row r="335" ht="22.5" customHeight="1">
      <c r="A335" s="7" t="s">
        <v>96</v>
      </c>
      <c r="B335" s="8"/>
      <c r="C335" s="9"/>
      <c r="D335" s="8"/>
    </row>
    <row r="336" ht="22.5" customHeight="1">
      <c r="A336" s="7" t="s">
        <v>96</v>
      </c>
      <c r="B336" s="8"/>
      <c r="C336" s="9"/>
      <c r="D336" s="8"/>
    </row>
    <row r="337" ht="22.5" customHeight="1">
      <c r="A337" s="7" t="s">
        <v>96</v>
      </c>
      <c r="B337" s="8"/>
      <c r="C337" s="9"/>
      <c r="D337" s="8"/>
    </row>
    <row r="338" ht="22.5" customHeight="1">
      <c r="A338" s="7" t="s">
        <v>96</v>
      </c>
      <c r="B338" s="8"/>
      <c r="C338" s="9"/>
      <c r="D338" s="8"/>
    </row>
    <row r="339" ht="22.5" customHeight="1">
      <c r="A339" s="7" t="s">
        <v>96</v>
      </c>
      <c r="B339" s="8"/>
      <c r="C339" s="9"/>
      <c r="D339" s="8"/>
    </row>
    <row r="340" ht="22.5" customHeight="1">
      <c r="A340" s="7" t="s">
        <v>96</v>
      </c>
      <c r="B340" s="8"/>
      <c r="C340" s="9"/>
      <c r="D340" s="8"/>
    </row>
    <row r="341" ht="22.5" customHeight="1">
      <c r="A341" s="7" t="s">
        <v>96</v>
      </c>
      <c r="B341" s="8"/>
      <c r="C341" s="9"/>
      <c r="D341" s="8"/>
    </row>
    <row r="342" ht="22.5" customHeight="1">
      <c r="A342" s="7" t="s">
        <v>96</v>
      </c>
      <c r="B342" s="8"/>
      <c r="C342" s="9"/>
      <c r="D342" s="8"/>
    </row>
    <row r="343" ht="22.5" customHeight="1">
      <c r="A343" s="7" t="s">
        <v>96</v>
      </c>
      <c r="B343" s="8"/>
      <c r="C343" s="9"/>
      <c r="D343" s="8"/>
    </row>
    <row r="344" ht="22.5" customHeight="1">
      <c r="A344" s="7" t="s">
        <v>96</v>
      </c>
      <c r="B344" s="8"/>
      <c r="C344" s="9"/>
      <c r="D344" s="8"/>
    </row>
    <row r="345" ht="22.5" customHeight="1">
      <c r="A345" s="7" t="s">
        <v>96</v>
      </c>
      <c r="B345" s="8"/>
      <c r="C345" s="9"/>
      <c r="D345" s="8"/>
    </row>
    <row r="346" ht="22.5" customHeight="1">
      <c r="A346" s="7" t="s">
        <v>96</v>
      </c>
      <c r="B346" s="8"/>
      <c r="C346" s="9"/>
      <c r="D346" s="8"/>
    </row>
    <row r="347" ht="22.5" customHeight="1">
      <c r="A347" s="7" t="s">
        <v>96</v>
      </c>
      <c r="B347" s="8"/>
      <c r="C347" s="9"/>
      <c r="D347" s="8"/>
    </row>
    <row r="348" ht="22.5" customHeight="1">
      <c r="A348" s="7" t="s">
        <v>96</v>
      </c>
      <c r="B348" s="8"/>
      <c r="C348" s="9"/>
      <c r="D348" s="8"/>
    </row>
    <row r="349" ht="22.5" customHeight="1">
      <c r="A349" s="7" t="s">
        <v>96</v>
      </c>
      <c r="B349" s="8"/>
      <c r="C349" s="9"/>
      <c r="D349" s="8"/>
    </row>
    <row r="350" ht="22.5" customHeight="1">
      <c r="A350" s="7" t="s">
        <v>96</v>
      </c>
      <c r="B350" s="8"/>
      <c r="C350" s="9"/>
      <c r="D350" s="8"/>
    </row>
    <row r="351" ht="22.5" customHeight="1">
      <c r="A351" s="7" t="s">
        <v>96</v>
      </c>
      <c r="B351" s="8"/>
      <c r="C351" s="9"/>
      <c r="D351" s="8"/>
    </row>
    <row r="352" ht="22.5" customHeight="1">
      <c r="A352" s="7" t="s">
        <v>96</v>
      </c>
      <c r="B352" s="8"/>
      <c r="C352" s="9"/>
      <c r="D352" s="8"/>
    </row>
    <row r="353" ht="22.5" customHeight="1">
      <c r="A353" s="7" t="s">
        <v>96</v>
      </c>
      <c r="B353" s="8"/>
      <c r="C353" s="9"/>
      <c r="D353" s="8"/>
    </row>
    <row r="354" ht="22.5" customHeight="1">
      <c r="A354" s="7" t="s">
        <v>96</v>
      </c>
      <c r="B354" s="8"/>
      <c r="C354" s="9"/>
      <c r="D354" s="8"/>
    </row>
    <row r="355" ht="22.5" customHeight="1">
      <c r="A355" s="7" t="s">
        <v>96</v>
      </c>
      <c r="B355" s="8"/>
      <c r="C355" s="9"/>
      <c r="D355" s="8"/>
    </row>
    <row r="356" ht="22.5" customHeight="1">
      <c r="A356" s="7" t="s">
        <v>96</v>
      </c>
      <c r="B356" s="8"/>
      <c r="C356" s="9"/>
      <c r="D356" s="8"/>
    </row>
    <row r="357" ht="22.5" customHeight="1">
      <c r="A357" s="7" t="s">
        <v>96</v>
      </c>
      <c r="B357" s="8"/>
      <c r="C357" s="9"/>
      <c r="D357" s="8"/>
    </row>
    <row r="358" ht="22.5" customHeight="1">
      <c r="A358" s="7" t="s">
        <v>96</v>
      </c>
      <c r="B358" s="8"/>
      <c r="C358" s="9"/>
      <c r="D358" s="8"/>
    </row>
    <row r="359" ht="22.5" customHeight="1">
      <c r="A359" s="7" t="s">
        <v>96</v>
      </c>
      <c r="B359" s="8"/>
      <c r="C359" s="9"/>
      <c r="D359" s="8"/>
    </row>
    <row r="360" ht="22.5" customHeight="1">
      <c r="A360" s="7" t="s">
        <v>96</v>
      </c>
      <c r="B360" s="8"/>
      <c r="C360" s="9"/>
      <c r="D360" s="8"/>
    </row>
    <row r="361" ht="22.5" customHeight="1">
      <c r="A361" s="7" t="s">
        <v>96</v>
      </c>
      <c r="B361" s="8"/>
      <c r="C361" s="9"/>
      <c r="D361" s="8"/>
    </row>
    <row r="362" ht="22.5" customHeight="1">
      <c r="A362" s="7" t="s">
        <v>96</v>
      </c>
      <c r="B362" s="8"/>
      <c r="C362" s="9"/>
      <c r="D362" s="8"/>
    </row>
    <row r="363" ht="22.5" customHeight="1">
      <c r="A363" s="7" t="s">
        <v>96</v>
      </c>
      <c r="B363" s="8"/>
      <c r="C363" s="9"/>
      <c r="D363" s="8"/>
    </row>
    <row r="364" ht="22.5" customHeight="1">
      <c r="A364" s="7" t="s">
        <v>96</v>
      </c>
      <c r="B364" s="8"/>
      <c r="C364" s="9"/>
      <c r="D364" s="8"/>
    </row>
    <row r="365" ht="22.5" customHeight="1">
      <c r="A365" s="7" t="s">
        <v>96</v>
      </c>
      <c r="B365" s="8"/>
      <c r="C365" s="9"/>
      <c r="D365" s="8"/>
    </row>
    <row r="366" ht="22.5" customHeight="1">
      <c r="A366" s="7" t="s">
        <v>96</v>
      </c>
      <c r="B366" s="8"/>
      <c r="C366" s="9"/>
      <c r="D366" s="8"/>
    </row>
    <row r="367" ht="22.5" customHeight="1">
      <c r="A367" s="7" t="s">
        <v>96</v>
      </c>
      <c r="B367" s="8"/>
      <c r="C367" s="9"/>
      <c r="D367" s="8"/>
    </row>
    <row r="368" ht="22.5" customHeight="1">
      <c r="A368" s="7" t="s">
        <v>96</v>
      </c>
      <c r="B368" s="8"/>
      <c r="C368" s="9"/>
      <c r="D368" s="8"/>
    </row>
    <row r="369" ht="22.5" customHeight="1">
      <c r="A369" s="7" t="s">
        <v>96</v>
      </c>
      <c r="B369" s="8"/>
      <c r="C369" s="9"/>
      <c r="D369" s="8"/>
    </row>
    <row r="370" ht="22.5" customHeight="1">
      <c r="A370" s="7" t="s">
        <v>96</v>
      </c>
      <c r="B370" s="8"/>
      <c r="C370" s="9"/>
      <c r="D370" s="8"/>
    </row>
    <row r="371" ht="22.5" customHeight="1">
      <c r="A371" s="7" t="s">
        <v>96</v>
      </c>
      <c r="B371" s="8"/>
      <c r="C371" s="9"/>
      <c r="D371" s="8"/>
    </row>
    <row r="372" ht="22.5" customHeight="1">
      <c r="A372" s="7" t="s">
        <v>96</v>
      </c>
      <c r="B372" s="8"/>
      <c r="C372" s="9"/>
      <c r="D372" s="8"/>
    </row>
    <row r="373" ht="22.5" customHeight="1">
      <c r="A373" s="7" t="s">
        <v>96</v>
      </c>
      <c r="B373" s="8"/>
      <c r="C373" s="9"/>
      <c r="D373" s="8"/>
    </row>
    <row r="374" ht="22.5" customHeight="1">
      <c r="A374" s="7" t="s">
        <v>96</v>
      </c>
      <c r="B374" s="8"/>
      <c r="C374" s="9"/>
      <c r="D374" s="8"/>
    </row>
    <row r="375" ht="22.5" customHeight="1">
      <c r="A375" s="7" t="s">
        <v>96</v>
      </c>
      <c r="B375" s="8"/>
      <c r="C375" s="9"/>
      <c r="D375" s="8"/>
    </row>
    <row r="376" ht="22.5" customHeight="1">
      <c r="A376" s="7" t="s">
        <v>96</v>
      </c>
      <c r="B376" s="8"/>
      <c r="C376" s="9"/>
      <c r="D376" s="8"/>
    </row>
    <row r="377" ht="22.5" customHeight="1">
      <c r="A377" s="7" t="s">
        <v>96</v>
      </c>
      <c r="B377" s="8"/>
      <c r="C377" s="9"/>
      <c r="D377" s="8"/>
    </row>
    <row r="378" ht="22.5" customHeight="1">
      <c r="A378" s="7" t="s">
        <v>96</v>
      </c>
      <c r="B378" s="8"/>
      <c r="C378" s="9"/>
      <c r="D378" s="8"/>
    </row>
    <row r="379" ht="22.5" customHeight="1">
      <c r="A379" s="7" t="s">
        <v>96</v>
      </c>
      <c r="B379" s="8"/>
      <c r="C379" s="9"/>
      <c r="D379" s="8"/>
    </row>
    <row r="380" ht="22.5" customHeight="1">
      <c r="A380" s="7" t="s">
        <v>96</v>
      </c>
      <c r="B380" s="8"/>
      <c r="C380" s="9"/>
      <c r="D380" s="8"/>
    </row>
    <row r="381" ht="22.5" customHeight="1">
      <c r="A381" s="7" t="s">
        <v>96</v>
      </c>
      <c r="B381" s="8"/>
      <c r="C381" s="9"/>
      <c r="D381" s="8"/>
    </row>
    <row r="382" ht="22.5" customHeight="1">
      <c r="A382" s="7" t="s">
        <v>96</v>
      </c>
      <c r="B382" s="8"/>
      <c r="C382" s="9"/>
      <c r="D382" s="8"/>
    </row>
    <row r="383" ht="22.5" customHeight="1">
      <c r="A383" s="7" t="s">
        <v>96</v>
      </c>
      <c r="B383" s="8"/>
      <c r="C383" s="9"/>
      <c r="D383" s="8"/>
    </row>
    <row r="384" ht="22.5" customHeight="1">
      <c r="A384" s="7" t="s">
        <v>96</v>
      </c>
      <c r="B384" s="8"/>
      <c r="C384" s="9"/>
      <c r="D384" s="8"/>
    </row>
    <row r="385" ht="22.5" customHeight="1">
      <c r="A385" s="7" t="s">
        <v>96</v>
      </c>
      <c r="B385" s="8"/>
      <c r="C385" s="9"/>
      <c r="D385" s="8"/>
    </row>
    <row r="386" ht="22.5" customHeight="1">
      <c r="A386" s="7" t="s">
        <v>96</v>
      </c>
      <c r="B386" s="8"/>
      <c r="C386" s="9"/>
      <c r="D386" s="8"/>
    </row>
    <row r="387" ht="22.5" customHeight="1">
      <c r="A387" s="7" t="s">
        <v>96</v>
      </c>
      <c r="B387" s="8"/>
      <c r="C387" s="9"/>
      <c r="D387" s="8"/>
    </row>
    <row r="388" ht="22.5" customHeight="1">
      <c r="A388" s="7" t="s">
        <v>96</v>
      </c>
      <c r="B388" s="8"/>
      <c r="C388" s="9"/>
      <c r="D388" s="8"/>
    </row>
    <row r="389" ht="22.5" customHeight="1">
      <c r="A389" s="7" t="s">
        <v>96</v>
      </c>
      <c r="B389" s="8"/>
      <c r="C389" s="9"/>
      <c r="D389" s="8"/>
    </row>
    <row r="390" ht="22.5" customHeight="1">
      <c r="A390" s="7" t="s">
        <v>96</v>
      </c>
      <c r="B390" s="8"/>
      <c r="C390" s="9"/>
      <c r="D390" s="8"/>
    </row>
    <row r="391" ht="22.5" customHeight="1">
      <c r="A391" s="7" t="s">
        <v>96</v>
      </c>
      <c r="B391" s="8"/>
      <c r="C391" s="9"/>
      <c r="D391" s="8"/>
    </row>
    <row r="392" ht="22.5" customHeight="1">
      <c r="A392" s="7" t="s">
        <v>96</v>
      </c>
      <c r="B392" s="8"/>
      <c r="C392" s="9"/>
      <c r="D392" s="8"/>
    </row>
    <row r="393" ht="22.5" customHeight="1">
      <c r="A393" s="7" t="s">
        <v>96</v>
      </c>
      <c r="B393" s="8"/>
      <c r="C393" s="9"/>
      <c r="D393" s="8"/>
    </row>
    <row r="394" ht="22.5" customHeight="1">
      <c r="A394" s="7" t="s">
        <v>96</v>
      </c>
      <c r="B394" s="8"/>
      <c r="C394" s="9"/>
      <c r="D394" s="8"/>
    </row>
    <row r="395" ht="22.5" customHeight="1">
      <c r="A395" s="7" t="s">
        <v>96</v>
      </c>
      <c r="B395" s="8"/>
      <c r="C395" s="9"/>
      <c r="D395" s="8"/>
    </row>
    <row r="396" ht="22.5" customHeight="1">
      <c r="A396" s="7" t="s">
        <v>96</v>
      </c>
      <c r="B396" s="8"/>
      <c r="C396" s="9"/>
      <c r="D396" s="8"/>
    </row>
    <row r="397" ht="22.5" customHeight="1">
      <c r="A397" s="7" t="s">
        <v>96</v>
      </c>
      <c r="B397" s="8"/>
      <c r="C397" s="9"/>
      <c r="D397" s="8"/>
    </row>
    <row r="398" ht="22.5" customHeight="1">
      <c r="A398" s="7" t="s">
        <v>96</v>
      </c>
      <c r="B398" s="8"/>
      <c r="C398" s="9"/>
      <c r="D398" s="8"/>
    </row>
    <row r="399" ht="22.5" customHeight="1">
      <c r="A399" s="7" t="s">
        <v>96</v>
      </c>
      <c r="B399" s="8"/>
      <c r="C399" s="9"/>
      <c r="D399" s="8"/>
    </row>
    <row r="400" ht="22.5" customHeight="1">
      <c r="A400" s="7" t="s">
        <v>96</v>
      </c>
      <c r="B400" s="8"/>
      <c r="C400" s="9"/>
      <c r="D400" s="8"/>
    </row>
    <row r="401" ht="22.5" customHeight="1">
      <c r="A401" s="7" t="s">
        <v>96</v>
      </c>
      <c r="B401" s="8"/>
      <c r="C401" s="9"/>
      <c r="D401" s="8"/>
    </row>
    <row r="402" ht="22.5" customHeight="1">
      <c r="A402" s="7" t="s">
        <v>96</v>
      </c>
      <c r="B402" s="8"/>
      <c r="C402" s="9"/>
      <c r="D402" s="8"/>
    </row>
    <row r="403" ht="22.5" customHeight="1">
      <c r="A403" s="7" t="s">
        <v>96</v>
      </c>
      <c r="B403" s="8"/>
      <c r="C403" s="9"/>
      <c r="D403" s="8"/>
    </row>
    <row r="404" ht="22.5" customHeight="1">
      <c r="A404" s="7" t="s">
        <v>96</v>
      </c>
      <c r="B404" s="8"/>
      <c r="C404" s="9"/>
      <c r="D404" s="8"/>
    </row>
    <row r="405" ht="22.5" customHeight="1">
      <c r="A405" s="7" t="s">
        <v>96</v>
      </c>
      <c r="B405" s="8"/>
      <c r="C405" s="9"/>
      <c r="D405" s="8"/>
    </row>
    <row r="406" ht="22.5" customHeight="1">
      <c r="A406" s="7" t="s">
        <v>96</v>
      </c>
      <c r="B406" s="8"/>
      <c r="C406" s="9"/>
      <c r="D406" s="8"/>
    </row>
    <row r="407" ht="22.5" customHeight="1">
      <c r="A407" s="7" t="s">
        <v>96</v>
      </c>
      <c r="B407" s="8"/>
      <c r="C407" s="9"/>
      <c r="D407" s="8"/>
    </row>
    <row r="408" ht="22.5" customHeight="1">
      <c r="A408" s="7" t="s">
        <v>96</v>
      </c>
      <c r="B408" s="8"/>
      <c r="C408" s="9"/>
      <c r="D408" s="8"/>
    </row>
    <row r="409" ht="22.5" customHeight="1">
      <c r="A409" s="7" t="s">
        <v>96</v>
      </c>
      <c r="B409" s="8"/>
      <c r="C409" s="9"/>
      <c r="D409" s="8"/>
    </row>
    <row r="410" ht="22.5" customHeight="1">
      <c r="A410" s="7" t="s">
        <v>96</v>
      </c>
      <c r="B410" s="8"/>
      <c r="C410" s="9"/>
      <c r="D410" s="8"/>
    </row>
    <row r="411" ht="22.5" customHeight="1">
      <c r="A411" s="7" t="s">
        <v>96</v>
      </c>
      <c r="B411" s="8"/>
      <c r="C411" s="9"/>
      <c r="D411" s="8"/>
    </row>
    <row r="412" ht="22.5" customHeight="1">
      <c r="A412" s="7" t="s">
        <v>96</v>
      </c>
      <c r="B412" s="8"/>
      <c r="C412" s="9"/>
      <c r="D412" s="8"/>
    </row>
    <row r="413" ht="22.5" customHeight="1">
      <c r="A413" s="7" t="s">
        <v>96</v>
      </c>
      <c r="B413" s="8"/>
      <c r="C413" s="9"/>
      <c r="D413" s="8"/>
    </row>
    <row r="414" ht="22.5" customHeight="1">
      <c r="A414" s="7" t="s">
        <v>96</v>
      </c>
      <c r="B414" s="8"/>
      <c r="C414" s="9"/>
      <c r="D414" s="8"/>
    </row>
    <row r="415" ht="22.5" customHeight="1">
      <c r="A415" s="7" t="s">
        <v>96</v>
      </c>
      <c r="B415" s="8"/>
      <c r="C415" s="9"/>
      <c r="D415" s="8"/>
    </row>
    <row r="416" ht="22.5" customHeight="1">
      <c r="A416" s="7" t="s">
        <v>96</v>
      </c>
      <c r="B416" s="8"/>
      <c r="C416" s="9"/>
      <c r="D416" s="8"/>
    </row>
    <row r="417" ht="22.5" customHeight="1">
      <c r="A417" s="7" t="s">
        <v>96</v>
      </c>
      <c r="B417" s="8"/>
      <c r="C417" s="9"/>
      <c r="D417" s="8"/>
    </row>
    <row r="418" ht="22.5" customHeight="1">
      <c r="A418" s="7" t="s">
        <v>96</v>
      </c>
      <c r="B418" s="8"/>
      <c r="C418" s="9"/>
      <c r="D418" s="8"/>
    </row>
    <row r="419" ht="22.5" customHeight="1">
      <c r="A419" s="7" t="s">
        <v>96</v>
      </c>
      <c r="B419" s="8"/>
      <c r="C419" s="9"/>
      <c r="D419" s="8"/>
    </row>
    <row r="420" ht="22.5" customHeight="1">
      <c r="A420" s="7" t="s">
        <v>96</v>
      </c>
      <c r="B420" s="8"/>
      <c r="C420" s="9"/>
      <c r="D420" s="8"/>
    </row>
    <row r="421" ht="22.5" customHeight="1">
      <c r="A421" s="7" t="s">
        <v>96</v>
      </c>
      <c r="B421" s="8"/>
      <c r="C421" s="9"/>
      <c r="D421" s="8"/>
    </row>
    <row r="422" ht="22.5" customHeight="1">
      <c r="A422" s="7" t="s">
        <v>96</v>
      </c>
      <c r="B422" s="8"/>
      <c r="C422" s="9"/>
      <c r="D422" s="8"/>
    </row>
    <row r="423" ht="22.5" customHeight="1">
      <c r="A423" s="7" t="s">
        <v>96</v>
      </c>
      <c r="B423" s="8"/>
      <c r="C423" s="9"/>
      <c r="D423" s="8"/>
    </row>
    <row r="424" ht="22.5" customHeight="1">
      <c r="A424" s="7" t="s">
        <v>96</v>
      </c>
      <c r="B424" s="8"/>
      <c r="C424" s="9"/>
      <c r="D424" s="8"/>
    </row>
    <row r="425" ht="22.5" customHeight="1">
      <c r="A425" s="7" t="s">
        <v>96</v>
      </c>
      <c r="B425" s="8"/>
      <c r="C425" s="9"/>
      <c r="D425" s="8"/>
    </row>
    <row r="426" ht="22.5" customHeight="1">
      <c r="A426" s="7" t="s">
        <v>96</v>
      </c>
      <c r="B426" s="8"/>
      <c r="C426" s="9"/>
      <c r="D426" s="8"/>
    </row>
    <row r="427" ht="22.5" customHeight="1">
      <c r="A427" s="7" t="s">
        <v>96</v>
      </c>
      <c r="B427" s="8"/>
      <c r="C427" s="9"/>
      <c r="D427" s="8"/>
    </row>
    <row r="428" ht="22.5" customHeight="1">
      <c r="A428" s="7" t="s">
        <v>96</v>
      </c>
      <c r="B428" s="8"/>
      <c r="C428" s="9"/>
      <c r="D428" s="8"/>
    </row>
    <row r="429" ht="22.5" customHeight="1">
      <c r="A429" s="7" t="s">
        <v>96</v>
      </c>
      <c r="B429" s="8"/>
      <c r="C429" s="9"/>
      <c r="D429" s="8"/>
    </row>
    <row r="430" ht="22.5" customHeight="1">
      <c r="A430" s="7" t="s">
        <v>96</v>
      </c>
      <c r="B430" s="8"/>
      <c r="C430" s="9"/>
      <c r="D430" s="8"/>
    </row>
    <row r="431" ht="22.5" customHeight="1">
      <c r="A431" s="7" t="s">
        <v>96</v>
      </c>
      <c r="B431" s="8"/>
      <c r="C431" s="9"/>
      <c r="D431" s="8"/>
    </row>
    <row r="432" ht="22.5" customHeight="1">
      <c r="A432" s="7" t="s">
        <v>96</v>
      </c>
      <c r="B432" s="8"/>
      <c r="C432" s="9"/>
      <c r="D432" s="8"/>
    </row>
    <row r="433" ht="22.5" customHeight="1">
      <c r="A433" s="7" t="s">
        <v>96</v>
      </c>
      <c r="B433" s="8"/>
      <c r="C433" s="9"/>
      <c r="D433" s="8"/>
    </row>
    <row r="434" ht="22.5" customHeight="1">
      <c r="A434" s="7" t="s">
        <v>96</v>
      </c>
      <c r="B434" s="8"/>
      <c r="C434" s="9"/>
      <c r="D434" s="8"/>
    </row>
    <row r="435" ht="22.5" customHeight="1">
      <c r="A435" s="7" t="s">
        <v>96</v>
      </c>
      <c r="B435" s="8"/>
      <c r="C435" s="9"/>
      <c r="D435" s="8"/>
    </row>
    <row r="436" ht="22.5" customHeight="1">
      <c r="A436" s="7" t="s">
        <v>96</v>
      </c>
      <c r="B436" s="8"/>
      <c r="C436" s="9"/>
      <c r="D436" s="8"/>
    </row>
    <row r="437" ht="22.5" customHeight="1">
      <c r="A437" s="7" t="s">
        <v>96</v>
      </c>
      <c r="B437" s="8"/>
      <c r="C437" s="9"/>
      <c r="D437" s="8"/>
    </row>
    <row r="438" ht="22.5" customHeight="1">
      <c r="A438" s="7" t="s">
        <v>96</v>
      </c>
      <c r="B438" s="8"/>
      <c r="C438" s="9"/>
      <c r="D438" s="8"/>
    </row>
    <row r="439" ht="22.5" customHeight="1">
      <c r="A439" s="7" t="s">
        <v>96</v>
      </c>
      <c r="B439" s="8"/>
      <c r="C439" s="9"/>
      <c r="D439" s="8"/>
    </row>
    <row r="440" ht="22.5" customHeight="1">
      <c r="A440" s="7" t="s">
        <v>96</v>
      </c>
      <c r="B440" s="8"/>
      <c r="C440" s="9"/>
      <c r="D440" s="8"/>
    </row>
    <row r="441" ht="22.5" customHeight="1">
      <c r="A441" s="7" t="s">
        <v>96</v>
      </c>
      <c r="B441" s="8"/>
      <c r="C441" s="9"/>
      <c r="D441" s="8"/>
    </row>
    <row r="442" ht="22.5" customHeight="1">
      <c r="A442" s="7" t="s">
        <v>96</v>
      </c>
      <c r="B442" s="8"/>
      <c r="C442" s="9"/>
      <c r="D442" s="8"/>
    </row>
    <row r="443" ht="22.5" customHeight="1">
      <c r="A443" s="7" t="s">
        <v>96</v>
      </c>
      <c r="B443" s="8"/>
      <c r="C443" s="9"/>
      <c r="D443" s="8"/>
    </row>
    <row r="444" ht="22.5" customHeight="1">
      <c r="A444" s="7" t="s">
        <v>96</v>
      </c>
      <c r="B444" s="8"/>
      <c r="C444" s="9"/>
      <c r="D444" s="8"/>
    </row>
    <row r="445" ht="22.5" customHeight="1">
      <c r="A445" s="7" t="s">
        <v>96</v>
      </c>
      <c r="B445" s="8"/>
      <c r="C445" s="9"/>
      <c r="D445" s="8"/>
    </row>
    <row r="446" ht="22.5" customHeight="1">
      <c r="A446" s="7" t="s">
        <v>96</v>
      </c>
      <c r="B446" s="8"/>
      <c r="C446" s="9"/>
      <c r="D446" s="8"/>
    </row>
    <row r="447" ht="22.5" customHeight="1">
      <c r="A447" s="7" t="s">
        <v>96</v>
      </c>
      <c r="B447" s="8"/>
      <c r="C447" s="9"/>
      <c r="D447" s="8"/>
    </row>
    <row r="448" ht="22.5" customHeight="1">
      <c r="A448" s="7" t="s">
        <v>96</v>
      </c>
      <c r="B448" s="8"/>
      <c r="C448" s="9"/>
      <c r="D448" s="8"/>
    </row>
    <row r="449" ht="22.5" customHeight="1">
      <c r="A449" s="7" t="s">
        <v>96</v>
      </c>
      <c r="B449" s="8"/>
      <c r="C449" s="9"/>
      <c r="D449" s="8"/>
    </row>
    <row r="450" ht="22.5" customHeight="1">
      <c r="A450" s="7" t="s">
        <v>96</v>
      </c>
      <c r="B450" s="8"/>
      <c r="C450" s="9"/>
      <c r="D450" s="8"/>
    </row>
    <row r="451" ht="22.5" customHeight="1">
      <c r="A451" s="7" t="s">
        <v>96</v>
      </c>
      <c r="B451" s="8"/>
      <c r="C451" s="9"/>
      <c r="D451" s="8"/>
    </row>
    <row r="452" ht="22.5" customHeight="1">
      <c r="A452" s="7" t="s">
        <v>96</v>
      </c>
      <c r="B452" s="8"/>
      <c r="C452" s="9"/>
      <c r="D452" s="8"/>
    </row>
    <row r="453" ht="22.5" customHeight="1">
      <c r="A453" s="7" t="s">
        <v>96</v>
      </c>
      <c r="B453" s="8"/>
      <c r="C453" s="9"/>
      <c r="D453" s="8"/>
    </row>
    <row r="454" ht="22.5" customHeight="1">
      <c r="A454" s="7" t="s">
        <v>96</v>
      </c>
      <c r="B454" s="8"/>
      <c r="C454" s="9"/>
      <c r="D454" s="8"/>
    </row>
    <row r="455" ht="22.5" customHeight="1">
      <c r="A455" s="7" t="s">
        <v>96</v>
      </c>
      <c r="B455" s="8"/>
      <c r="C455" s="9"/>
      <c r="D455" s="8"/>
    </row>
    <row r="456" ht="22.5" customHeight="1">
      <c r="A456" s="7" t="s">
        <v>96</v>
      </c>
      <c r="B456" s="8"/>
      <c r="C456" s="9"/>
      <c r="D456" s="8"/>
    </row>
    <row r="457" ht="22.5" customHeight="1">
      <c r="A457" s="7" t="s">
        <v>96</v>
      </c>
      <c r="B457" s="8"/>
      <c r="C457" s="9"/>
      <c r="D457" s="8"/>
    </row>
    <row r="458" ht="22.5" customHeight="1">
      <c r="A458" s="7" t="s">
        <v>96</v>
      </c>
      <c r="B458" s="8"/>
      <c r="C458" s="9"/>
      <c r="D458" s="8"/>
    </row>
    <row r="459" ht="22.5" customHeight="1">
      <c r="A459" s="7" t="s">
        <v>96</v>
      </c>
      <c r="B459" s="8"/>
      <c r="C459" s="9"/>
      <c r="D459" s="8"/>
    </row>
    <row r="460" ht="22.5" customHeight="1">
      <c r="A460" s="7" t="s">
        <v>96</v>
      </c>
      <c r="B460" s="8"/>
      <c r="C460" s="9"/>
      <c r="D460" s="8"/>
    </row>
    <row r="461" ht="22.5" customHeight="1">
      <c r="A461" s="7" t="s">
        <v>96</v>
      </c>
      <c r="B461" s="8"/>
      <c r="C461" s="9"/>
      <c r="D461" s="8"/>
    </row>
    <row r="462" ht="22.5" customHeight="1">
      <c r="A462" s="7" t="s">
        <v>96</v>
      </c>
      <c r="B462" s="8"/>
      <c r="C462" s="9"/>
      <c r="D462" s="8"/>
    </row>
    <row r="463" ht="22.5" customHeight="1">
      <c r="A463" s="7" t="s">
        <v>96</v>
      </c>
      <c r="B463" s="8"/>
      <c r="C463" s="9"/>
      <c r="D463" s="8"/>
    </row>
    <row r="464" ht="22.5" customHeight="1">
      <c r="A464" s="7" t="s">
        <v>96</v>
      </c>
      <c r="B464" s="8"/>
      <c r="C464" s="9"/>
      <c r="D464" s="8"/>
    </row>
    <row r="465" ht="22.5" customHeight="1">
      <c r="A465" s="7" t="s">
        <v>96</v>
      </c>
      <c r="B465" s="8"/>
      <c r="C465" s="9"/>
      <c r="D465" s="8"/>
    </row>
    <row r="466" ht="22.5" customHeight="1">
      <c r="A466" s="7" t="s">
        <v>96</v>
      </c>
      <c r="B466" s="8"/>
      <c r="C466" s="9"/>
      <c r="D466" s="8"/>
    </row>
    <row r="467" ht="22.5" customHeight="1">
      <c r="A467" s="7" t="s">
        <v>96</v>
      </c>
      <c r="B467" s="8"/>
      <c r="C467" s="9"/>
      <c r="D467" s="8"/>
    </row>
    <row r="468" ht="22.5" customHeight="1">
      <c r="A468" s="7" t="s">
        <v>96</v>
      </c>
      <c r="B468" s="8"/>
      <c r="C468" s="9"/>
      <c r="D468" s="8"/>
    </row>
    <row r="469" ht="22.5" customHeight="1">
      <c r="A469" s="7" t="s">
        <v>96</v>
      </c>
      <c r="B469" s="8"/>
      <c r="C469" s="9"/>
      <c r="D469" s="8"/>
    </row>
    <row r="470" ht="22.5" customHeight="1">
      <c r="A470" s="7" t="s">
        <v>96</v>
      </c>
      <c r="B470" s="8"/>
      <c r="C470" s="9"/>
      <c r="D470" s="8"/>
    </row>
    <row r="471" ht="22.5" customHeight="1">
      <c r="A471" s="7" t="s">
        <v>96</v>
      </c>
      <c r="B471" s="8"/>
      <c r="C471" s="9"/>
      <c r="D471" s="8"/>
    </row>
    <row r="472" ht="22.5" customHeight="1">
      <c r="A472" s="7" t="s">
        <v>96</v>
      </c>
      <c r="B472" s="8"/>
      <c r="C472" s="9"/>
      <c r="D472" s="8"/>
    </row>
    <row r="473" ht="22.5" customHeight="1">
      <c r="A473" s="7" t="s">
        <v>96</v>
      </c>
      <c r="B473" s="8"/>
      <c r="C473" s="9"/>
      <c r="D473" s="8"/>
    </row>
    <row r="474" ht="22.5" customHeight="1">
      <c r="A474" s="7" t="s">
        <v>96</v>
      </c>
      <c r="B474" s="8"/>
      <c r="C474" s="9"/>
      <c r="D474" s="8"/>
    </row>
    <row r="475" ht="22.5" customHeight="1">
      <c r="A475" s="7" t="s">
        <v>96</v>
      </c>
      <c r="B475" s="8"/>
      <c r="C475" s="9"/>
      <c r="D475" s="8"/>
    </row>
    <row r="476" ht="22.5" customHeight="1">
      <c r="A476" s="7" t="s">
        <v>96</v>
      </c>
      <c r="B476" s="8"/>
      <c r="C476" s="9"/>
      <c r="D476" s="8"/>
    </row>
    <row r="477" ht="22.5" customHeight="1">
      <c r="A477" s="7" t="s">
        <v>96</v>
      </c>
      <c r="B477" s="8"/>
      <c r="C477" s="9"/>
      <c r="D477" s="8"/>
    </row>
    <row r="478" ht="22.5" customHeight="1">
      <c r="A478" s="7" t="s">
        <v>96</v>
      </c>
      <c r="B478" s="8"/>
      <c r="C478" s="9"/>
      <c r="D478" s="8"/>
    </row>
    <row r="479" ht="22.5" customHeight="1">
      <c r="A479" s="7" t="s">
        <v>96</v>
      </c>
      <c r="B479" s="8"/>
      <c r="C479" s="9"/>
      <c r="D479" s="8"/>
    </row>
    <row r="480" ht="22.5" customHeight="1">
      <c r="A480" s="7" t="s">
        <v>96</v>
      </c>
      <c r="B480" s="8"/>
      <c r="C480" s="9"/>
      <c r="D480" s="8"/>
    </row>
    <row r="481" ht="22.5" customHeight="1">
      <c r="A481" s="7" t="s">
        <v>96</v>
      </c>
      <c r="B481" s="8"/>
      <c r="C481" s="9"/>
      <c r="D481" s="8"/>
    </row>
    <row r="482" ht="22.5" customHeight="1">
      <c r="A482" s="7" t="s">
        <v>96</v>
      </c>
      <c r="B482" s="8"/>
      <c r="C482" s="9"/>
      <c r="D482" s="8"/>
    </row>
    <row r="483" ht="22.5" customHeight="1">
      <c r="A483" s="7" t="s">
        <v>96</v>
      </c>
      <c r="B483" s="8"/>
      <c r="C483" s="9"/>
      <c r="D483" s="8"/>
    </row>
    <row r="484" ht="22.5" customHeight="1">
      <c r="A484" s="7" t="s">
        <v>96</v>
      </c>
      <c r="B484" s="8"/>
      <c r="C484" s="9"/>
      <c r="D484" s="8"/>
    </row>
    <row r="485" ht="22.5" customHeight="1">
      <c r="A485" s="7" t="s">
        <v>96</v>
      </c>
      <c r="B485" s="8"/>
      <c r="C485" s="9"/>
      <c r="D485" s="8"/>
    </row>
    <row r="486" ht="22.5" customHeight="1">
      <c r="A486" s="7" t="s">
        <v>96</v>
      </c>
      <c r="B486" s="8"/>
      <c r="C486" s="9"/>
      <c r="D486" s="8"/>
    </row>
    <row r="487" ht="22.5" customHeight="1">
      <c r="A487" s="7" t="s">
        <v>96</v>
      </c>
      <c r="B487" s="8"/>
      <c r="C487" s="9"/>
      <c r="D487" s="8"/>
    </row>
    <row r="488" ht="22.5" customHeight="1">
      <c r="A488" s="7" t="s">
        <v>96</v>
      </c>
      <c r="B488" s="8"/>
      <c r="C488" s="9"/>
      <c r="D488" s="8"/>
    </row>
    <row r="489" ht="22.5" customHeight="1">
      <c r="A489" s="7" t="s">
        <v>96</v>
      </c>
      <c r="B489" s="8"/>
      <c r="C489" s="9"/>
      <c r="D489" s="8"/>
    </row>
    <row r="490" ht="22.5" customHeight="1">
      <c r="A490" s="7" t="s">
        <v>96</v>
      </c>
      <c r="B490" s="8"/>
      <c r="C490" s="9"/>
      <c r="D490" s="8"/>
    </row>
    <row r="491" ht="22.5" customHeight="1">
      <c r="A491" s="7" t="s">
        <v>96</v>
      </c>
      <c r="B491" s="8"/>
      <c r="C491" s="9"/>
      <c r="D491" s="8"/>
    </row>
    <row r="492" ht="22.5" customHeight="1">
      <c r="A492" s="7" t="s">
        <v>96</v>
      </c>
      <c r="B492" s="8"/>
      <c r="C492" s="9"/>
      <c r="D492" s="8"/>
    </row>
    <row r="493" ht="22.5" customHeight="1">
      <c r="A493" s="7" t="s">
        <v>96</v>
      </c>
      <c r="B493" s="8"/>
      <c r="C493" s="9"/>
      <c r="D493" s="8"/>
    </row>
    <row r="494" ht="22.5" customHeight="1">
      <c r="A494" s="7" t="s">
        <v>96</v>
      </c>
      <c r="B494" s="8"/>
      <c r="C494" s="9"/>
      <c r="D494" s="8"/>
    </row>
    <row r="495" ht="22.5" customHeight="1">
      <c r="A495" s="7" t="s">
        <v>96</v>
      </c>
      <c r="B495" s="8"/>
      <c r="C495" s="9"/>
      <c r="D495" s="8"/>
    </row>
    <row r="496" ht="22.5" customHeight="1">
      <c r="A496" s="7" t="s">
        <v>96</v>
      </c>
      <c r="B496" s="8"/>
      <c r="C496" s="9"/>
      <c r="D496" s="8"/>
    </row>
    <row r="497" ht="22.5" customHeight="1">
      <c r="A497" s="7" t="s">
        <v>96</v>
      </c>
      <c r="B497" s="8"/>
      <c r="C497" s="9"/>
      <c r="D497" s="8"/>
    </row>
    <row r="498" ht="22.5" customHeight="1">
      <c r="A498" s="7" t="s">
        <v>96</v>
      </c>
      <c r="B498" s="8"/>
      <c r="C498" s="9"/>
      <c r="D498" s="8"/>
    </row>
    <row r="499" ht="22.5" customHeight="1">
      <c r="A499" s="7" t="s">
        <v>96</v>
      </c>
      <c r="B499" s="8"/>
      <c r="C499" s="9"/>
      <c r="D499" s="8"/>
    </row>
    <row r="500" ht="22.5" customHeight="1">
      <c r="A500" s="7" t="s">
        <v>96</v>
      </c>
      <c r="B500" s="8"/>
      <c r="C500" s="9"/>
      <c r="D500" s="8"/>
    </row>
    <row r="501" ht="22.5" customHeight="1">
      <c r="A501" s="7" t="s">
        <v>96</v>
      </c>
      <c r="B501" s="8"/>
      <c r="C501" s="9"/>
      <c r="D501" s="8"/>
    </row>
    <row r="502" ht="22.5" customHeight="1">
      <c r="A502" s="7" t="s">
        <v>96</v>
      </c>
      <c r="B502" s="8"/>
      <c r="C502" s="9"/>
      <c r="D502" s="8"/>
    </row>
    <row r="503" ht="22.5" customHeight="1">
      <c r="A503" s="7" t="s">
        <v>96</v>
      </c>
      <c r="B503" s="8"/>
      <c r="C503" s="9"/>
      <c r="D503" s="8"/>
    </row>
    <row r="504" ht="22.5" customHeight="1">
      <c r="A504" s="7" t="s">
        <v>96</v>
      </c>
      <c r="B504" s="8"/>
      <c r="C504" s="9"/>
      <c r="D504" s="8"/>
    </row>
    <row r="505" ht="22.5" customHeight="1">
      <c r="A505" s="7" t="s">
        <v>96</v>
      </c>
      <c r="B505" s="8"/>
      <c r="C505" s="9"/>
      <c r="D505" s="8"/>
    </row>
    <row r="506" ht="22.5" customHeight="1">
      <c r="A506" s="7" t="s">
        <v>96</v>
      </c>
      <c r="B506" s="8"/>
      <c r="C506" s="9"/>
      <c r="D506" s="8"/>
    </row>
    <row r="507" ht="22.5" customHeight="1">
      <c r="A507" s="7" t="s">
        <v>96</v>
      </c>
      <c r="B507" s="8"/>
      <c r="C507" s="9"/>
      <c r="D507" s="8"/>
    </row>
    <row r="508" ht="22.5" customHeight="1">
      <c r="A508" s="7" t="s">
        <v>96</v>
      </c>
      <c r="B508" s="8"/>
      <c r="C508" s="9"/>
      <c r="D508" s="8"/>
    </row>
    <row r="509" ht="22.5" customHeight="1">
      <c r="A509" s="7" t="s">
        <v>96</v>
      </c>
      <c r="B509" s="8"/>
      <c r="C509" s="9"/>
      <c r="D509" s="8"/>
    </row>
    <row r="510" ht="22.5" customHeight="1">
      <c r="A510" s="7" t="s">
        <v>96</v>
      </c>
      <c r="B510" s="8"/>
      <c r="C510" s="9"/>
      <c r="D510" s="8"/>
    </row>
    <row r="511" ht="22.5" customHeight="1">
      <c r="A511" s="7" t="s">
        <v>96</v>
      </c>
      <c r="B511" s="8"/>
      <c r="C511" s="9"/>
      <c r="D511" s="8"/>
    </row>
    <row r="512" ht="22.5" customHeight="1">
      <c r="A512" s="7" t="s">
        <v>96</v>
      </c>
      <c r="B512" s="8"/>
      <c r="C512" s="9"/>
      <c r="D512" s="8"/>
    </row>
    <row r="513" ht="22.5" customHeight="1">
      <c r="A513" s="7" t="s">
        <v>96</v>
      </c>
      <c r="B513" s="8"/>
      <c r="C513" s="9"/>
      <c r="D513" s="8"/>
    </row>
    <row r="514" ht="22.5" customHeight="1">
      <c r="A514" s="7" t="s">
        <v>96</v>
      </c>
      <c r="B514" s="8"/>
      <c r="C514" s="9"/>
      <c r="D514" s="8"/>
    </row>
    <row r="515" ht="22.5" customHeight="1">
      <c r="A515" s="7" t="s">
        <v>96</v>
      </c>
      <c r="B515" s="8"/>
      <c r="C515" s="9"/>
      <c r="D515" s="8"/>
    </row>
    <row r="516" ht="22.5" customHeight="1">
      <c r="A516" s="7" t="s">
        <v>96</v>
      </c>
      <c r="B516" s="8"/>
      <c r="C516" s="9"/>
      <c r="D516" s="8"/>
    </row>
    <row r="517" ht="22.5" customHeight="1">
      <c r="A517" s="7" t="s">
        <v>96</v>
      </c>
      <c r="B517" s="8"/>
      <c r="C517" s="9"/>
      <c r="D517" s="8"/>
    </row>
    <row r="518" ht="22.5" customHeight="1">
      <c r="A518" s="7" t="s">
        <v>96</v>
      </c>
      <c r="B518" s="8"/>
      <c r="C518" s="9"/>
      <c r="D518" s="8"/>
    </row>
    <row r="519" ht="22.5" customHeight="1">
      <c r="A519" s="7" t="s">
        <v>96</v>
      </c>
      <c r="B519" s="8"/>
      <c r="C519" s="9"/>
      <c r="D519" s="8"/>
    </row>
    <row r="520" ht="22.5" customHeight="1">
      <c r="A520" s="7" t="s">
        <v>96</v>
      </c>
      <c r="B520" s="8"/>
      <c r="C520" s="9"/>
      <c r="D520" s="8"/>
    </row>
    <row r="521" ht="22.5" customHeight="1">
      <c r="A521" s="7" t="s">
        <v>96</v>
      </c>
      <c r="B521" s="8"/>
      <c r="C521" s="9"/>
      <c r="D521" s="8"/>
    </row>
    <row r="522" ht="22.5" customHeight="1">
      <c r="A522" s="7" t="s">
        <v>96</v>
      </c>
      <c r="B522" s="8"/>
      <c r="C522" s="9"/>
      <c r="D522" s="8"/>
    </row>
    <row r="523" ht="22.5" customHeight="1">
      <c r="A523" s="7" t="s">
        <v>96</v>
      </c>
      <c r="B523" s="8"/>
      <c r="C523" s="9"/>
      <c r="D523" s="8"/>
    </row>
    <row r="524" ht="22.5" customHeight="1">
      <c r="A524" s="7" t="s">
        <v>96</v>
      </c>
      <c r="B524" s="8"/>
      <c r="C524" s="9"/>
      <c r="D524" s="8"/>
    </row>
    <row r="525" ht="22.5" customHeight="1">
      <c r="A525" s="7" t="s">
        <v>96</v>
      </c>
      <c r="B525" s="8"/>
      <c r="C525" s="9"/>
      <c r="D525" s="8"/>
    </row>
    <row r="526" ht="22.5" customHeight="1">
      <c r="A526" s="7" t="s">
        <v>96</v>
      </c>
      <c r="B526" s="8"/>
      <c r="C526" s="9"/>
      <c r="D526" s="8"/>
    </row>
    <row r="527" ht="22.5" customHeight="1">
      <c r="A527" s="7" t="s">
        <v>96</v>
      </c>
      <c r="B527" s="8"/>
      <c r="C527" s="9"/>
      <c r="D527" s="8"/>
    </row>
    <row r="528" ht="22.5" customHeight="1">
      <c r="A528" s="7" t="s">
        <v>96</v>
      </c>
      <c r="B528" s="8"/>
      <c r="C528" s="9"/>
      <c r="D528" s="8"/>
    </row>
    <row r="529" ht="22.5" customHeight="1">
      <c r="A529" s="7" t="s">
        <v>96</v>
      </c>
      <c r="B529" s="8"/>
      <c r="C529" s="9"/>
      <c r="D529" s="8"/>
    </row>
    <row r="530" ht="22.5" customHeight="1">
      <c r="A530" s="7" t="s">
        <v>96</v>
      </c>
      <c r="B530" s="8"/>
      <c r="C530" s="9"/>
      <c r="D530" s="8"/>
    </row>
    <row r="531" ht="22.5" customHeight="1">
      <c r="A531" s="7" t="s">
        <v>96</v>
      </c>
      <c r="B531" s="8"/>
      <c r="C531" s="9"/>
      <c r="D531" s="8"/>
    </row>
    <row r="532" ht="22.5" customHeight="1">
      <c r="A532" s="7" t="s">
        <v>96</v>
      </c>
      <c r="B532" s="8"/>
      <c r="C532" s="9"/>
      <c r="D532" s="8"/>
    </row>
    <row r="533" ht="22.5" customHeight="1">
      <c r="A533" s="7" t="s">
        <v>96</v>
      </c>
      <c r="B533" s="8"/>
      <c r="C533" s="9"/>
      <c r="D533" s="8"/>
    </row>
    <row r="534" ht="22.5" customHeight="1">
      <c r="A534" s="7" t="s">
        <v>96</v>
      </c>
      <c r="B534" s="8"/>
      <c r="C534" s="9"/>
      <c r="D534" s="8"/>
    </row>
    <row r="535" ht="22.5" customHeight="1">
      <c r="A535" s="7" t="s">
        <v>96</v>
      </c>
      <c r="B535" s="8"/>
      <c r="C535" s="9"/>
      <c r="D535" s="8"/>
    </row>
    <row r="536" ht="22.5" customHeight="1">
      <c r="A536" s="7" t="s">
        <v>96</v>
      </c>
      <c r="B536" s="8"/>
      <c r="C536" s="9"/>
      <c r="D536" s="8"/>
    </row>
    <row r="537" ht="22.5" customHeight="1">
      <c r="A537" s="7" t="s">
        <v>96</v>
      </c>
      <c r="B537" s="8"/>
      <c r="C537" s="9"/>
      <c r="D537" s="8"/>
    </row>
    <row r="538" ht="22.5" customHeight="1">
      <c r="A538" s="7" t="s">
        <v>96</v>
      </c>
      <c r="B538" s="8"/>
      <c r="C538" s="9"/>
      <c r="D538" s="8"/>
    </row>
    <row r="539" ht="22.5" customHeight="1">
      <c r="A539" s="7" t="s">
        <v>96</v>
      </c>
      <c r="B539" s="8"/>
      <c r="C539" s="9"/>
      <c r="D539" s="8"/>
    </row>
    <row r="540" ht="22.5" customHeight="1">
      <c r="A540" s="7" t="s">
        <v>96</v>
      </c>
      <c r="B540" s="8"/>
      <c r="C540" s="9"/>
      <c r="D540" s="8"/>
    </row>
    <row r="541" ht="22.5" customHeight="1">
      <c r="A541" s="7" t="s">
        <v>96</v>
      </c>
      <c r="B541" s="8"/>
      <c r="C541" s="9"/>
      <c r="D541" s="8"/>
    </row>
    <row r="542" ht="22.5" customHeight="1">
      <c r="A542" s="7" t="s">
        <v>96</v>
      </c>
      <c r="B542" s="8"/>
      <c r="C542" s="9"/>
      <c r="D542" s="8"/>
    </row>
    <row r="543" ht="22.5" customHeight="1">
      <c r="A543" s="7" t="s">
        <v>96</v>
      </c>
      <c r="B543" s="8"/>
      <c r="C543" s="9"/>
      <c r="D543" s="8"/>
    </row>
    <row r="544" ht="22.5" customHeight="1">
      <c r="A544" s="7" t="s">
        <v>96</v>
      </c>
      <c r="B544" s="8"/>
      <c r="C544" s="9"/>
      <c r="D544" s="8"/>
    </row>
    <row r="545" ht="22.5" customHeight="1">
      <c r="A545" s="7" t="s">
        <v>96</v>
      </c>
      <c r="B545" s="8"/>
      <c r="C545" s="9"/>
      <c r="D545" s="8"/>
    </row>
    <row r="546" ht="22.5" customHeight="1">
      <c r="A546" s="7" t="s">
        <v>96</v>
      </c>
      <c r="B546" s="8"/>
      <c r="C546" s="9"/>
      <c r="D546" s="8"/>
    </row>
    <row r="547" ht="22.5" customHeight="1">
      <c r="A547" s="7" t="s">
        <v>96</v>
      </c>
      <c r="B547" s="8"/>
      <c r="C547" s="9"/>
      <c r="D547" s="8"/>
    </row>
    <row r="548" ht="22.5" customHeight="1">
      <c r="A548" s="7" t="s">
        <v>96</v>
      </c>
      <c r="B548" s="8"/>
      <c r="C548" s="9"/>
      <c r="D548" s="8"/>
    </row>
    <row r="549" ht="22.5" customHeight="1">
      <c r="A549" s="7" t="s">
        <v>96</v>
      </c>
      <c r="B549" s="8"/>
      <c r="C549" s="9"/>
      <c r="D549" s="8"/>
    </row>
    <row r="550" ht="22.5" customHeight="1">
      <c r="A550" s="7" t="s">
        <v>96</v>
      </c>
      <c r="B550" s="8"/>
      <c r="C550" s="9"/>
      <c r="D550" s="8"/>
    </row>
    <row r="551" ht="22.5" customHeight="1">
      <c r="A551" s="7" t="s">
        <v>96</v>
      </c>
      <c r="B551" s="8"/>
      <c r="C551" s="9"/>
      <c r="D551" s="8"/>
    </row>
    <row r="552" ht="22.5" customHeight="1">
      <c r="A552" s="7" t="s">
        <v>96</v>
      </c>
      <c r="B552" s="8"/>
      <c r="C552" s="9"/>
      <c r="D552" s="8"/>
    </row>
    <row r="553" ht="22.5" customHeight="1">
      <c r="A553" s="7" t="s">
        <v>96</v>
      </c>
      <c r="B553" s="8"/>
      <c r="C553" s="9"/>
      <c r="D553" s="8"/>
    </row>
    <row r="554" ht="22.5" customHeight="1">
      <c r="A554" s="7" t="s">
        <v>96</v>
      </c>
      <c r="B554" s="8"/>
      <c r="C554" s="9"/>
      <c r="D554" s="8"/>
    </row>
    <row r="555" ht="22.5" customHeight="1">
      <c r="A555" s="7" t="s">
        <v>96</v>
      </c>
      <c r="B555" s="8"/>
      <c r="C555" s="9"/>
      <c r="D555" s="8"/>
    </row>
    <row r="556" ht="22.5" customHeight="1">
      <c r="A556" s="7" t="s">
        <v>96</v>
      </c>
      <c r="B556" s="8"/>
      <c r="C556" s="9"/>
      <c r="D556" s="8"/>
    </row>
    <row r="557" ht="22.5" customHeight="1">
      <c r="A557" s="7" t="s">
        <v>96</v>
      </c>
      <c r="B557" s="8"/>
      <c r="C557" s="9"/>
      <c r="D557" s="8"/>
    </row>
    <row r="558" ht="22.5" customHeight="1">
      <c r="A558" s="7" t="s">
        <v>96</v>
      </c>
      <c r="B558" s="8"/>
      <c r="C558" s="9"/>
      <c r="D558" s="8"/>
    </row>
    <row r="559" ht="22.5" customHeight="1">
      <c r="A559" s="7" t="s">
        <v>96</v>
      </c>
      <c r="B559" s="8"/>
      <c r="C559" s="9"/>
      <c r="D559" s="8"/>
    </row>
    <row r="560" ht="22.5" customHeight="1">
      <c r="A560" s="7" t="s">
        <v>96</v>
      </c>
      <c r="B560" s="8"/>
      <c r="C560" s="9"/>
      <c r="D560" s="8"/>
    </row>
    <row r="561" ht="22.5" customHeight="1">
      <c r="A561" s="7" t="s">
        <v>96</v>
      </c>
      <c r="B561" s="8"/>
      <c r="C561" s="9"/>
      <c r="D561" s="8"/>
    </row>
    <row r="562" ht="22.5" customHeight="1">
      <c r="A562" s="7" t="s">
        <v>96</v>
      </c>
      <c r="B562" s="8"/>
      <c r="C562" s="9"/>
      <c r="D562" s="8"/>
    </row>
    <row r="563" ht="22.5" customHeight="1">
      <c r="A563" s="7" t="s">
        <v>96</v>
      </c>
      <c r="B563" s="8"/>
      <c r="C563" s="9"/>
      <c r="D563" s="8"/>
    </row>
    <row r="564" ht="22.5" customHeight="1">
      <c r="A564" s="7" t="s">
        <v>96</v>
      </c>
      <c r="B564" s="8"/>
      <c r="C564" s="9"/>
      <c r="D564" s="8"/>
    </row>
    <row r="565" ht="22.5" customHeight="1">
      <c r="A565" s="7" t="s">
        <v>96</v>
      </c>
      <c r="B565" s="8"/>
      <c r="C565" s="9"/>
      <c r="D565" s="8"/>
    </row>
    <row r="566" ht="22.5" customHeight="1">
      <c r="A566" s="7" t="s">
        <v>96</v>
      </c>
      <c r="B566" s="8"/>
      <c r="C566" s="9"/>
      <c r="D566" s="8"/>
    </row>
    <row r="567" ht="22.5" customHeight="1">
      <c r="A567" s="7" t="s">
        <v>96</v>
      </c>
      <c r="B567" s="8"/>
      <c r="C567" s="9"/>
      <c r="D567" s="8"/>
    </row>
    <row r="568" ht="22.5" customHeight="1">
      <c r="A568" s="7" t="s">
        <v>96</v>
      </c>
      <c r="B568" s="8"/>
      <c r="C568" s="9"/>
      <c r="D568" s="8"/>
    </row>
    <row r="569" ht="22.5" customHeight="1">
      <c r="A569" s="7" t="s">
        <v>96</v>
      </c>
      <c r="B569" s="8"/>
      <c r="C569" s="9"/>
      <c r="D569" s="8"/>
    </row>
    <row r="570" ht="22.5" customHeight="1">
      <c r="A570" s="7" t="s">
        <v>96</v>
      </c>
      <c r="B570" s="8"/>
      <c r="C570" s="9"/>
      <c r="D570" s="8"/>
    </row>
    <row r="571" ht="22.5" customHeight="1">
      <c r="A571" s="7" t="s">
        <v>96</v>
      </c>
      <c r="B571" s="8"/>
      <c r="C571" s="9"/>
      <c r="D571" s="8"/>
    </row>
    <row r="572" ht="22.5" customHeight="1">
      <c r="A572" s="7" t="s">
        <v>96</v>
      </c>
      <c r="B572" s="8"/>
      <c r="C572" s="9"/>
      <c r="D572" s="8"/>
    </row>
    <row r="573" ht="22.5" customHeight="1">
      <c r="A573" s="7" t="s">
        <v>96</v>
      </c>
      <c r="B573" s="8"/>
      <c r="C573" s="9"/>
      <c r="D573" s="8"/>
    </row>
    <row r="574" ht="22.5" customHeight="1">
      <c r="A574" s="7" t="s">
        <v>96</v>
      </c>
      <c r="B574" s="8"/>
      <c r="C574" s="9"/>
      <c r="D574" s="8"/>
    </row>
    <row r="575" ht="22.5" customHeight="1">
      <c r="A575" s="7" t="s">
        <v>96</v>
      </c>
      <c r="B575" s="8"/>
      <c r="C575" s="9"/>
      <c r="D575" s="8"/>
    </row>
    <row r="576" ht="22.5" customHeight="1">
      <c r="A576" s="7" t="s">
        <v>96</v>
      </c>
      <c r="B576" s="8"/>
      <c r="C576" s="9"/>
      <c r="D576" s="8"/>
    </row>
    <row r="577" ht="22.5" customHeight="1">
      <c r="A577" s="7" t="s">
        <v>96</v>
      </c>
      <c r="B577" s="8"/>
      <c r="C577" s="9"/>
      <c r="D577" s="8"/>
    </row>
    <row r="578" ht="22.5" customHeight="1">
      <c r="A578" s="7" t="s">
        <v>96</v>
      </c>
      <c r="B578" s="8"/>
      <c r="C578" s="9"/>
      <c r="D578" s="8"/>
    </row>
    <row r="579" ht="22.5" customHeight="1">
      <c r="A579" s="7" t="s">
        <v>96</v>
      </c>
      <c r="B579" s="8"/>
      <c r="C579" s="9"/>
      <c r="D579" s="8"/>
    </row>
    <row r="580" ht="22.5" customHeight="1">
      <c r="A580" s="7" t="s">
        <v>96</v>
      </c>
      <c r="B580" s="8"/>
      <c r="C580" s="9"/>
      <c r="D580" s="8"/>
    </row>
    <row r="581" ht="22.5" customHeight="1">
      <c r="A581" s="7" t="s">
        <v>96</v>
      </c>
      <c r="B581" s="8"/>
      <c r="C581" s="9"/>
      <c r="D581" s="8"/>
    </row>
    <row r="582" ht="22.5" customHeight="1">
      <c r="A582" s="7" t="s">
        <v>96</v>
      </c>
      <c r="B582" s="8"/>
      <c r="C582" s="9"/>
      <c r="D582" s="8"/>
    </row>
    <row r="583" ht="22.5" customHeight="1">
      <c r="A583" s="7" t="s">
        <v>96</v>
      </c>
      <c r="B583" s="8"/>
      <c r="C583" s="9"/>
      <c r="D583" s="8"/>
    </row>
    <row r="584" ht="22.5" customHeight="1">
      <c r="A584" s="7" t="s">
        <v>96</v>
      </c>
      <c r="B584" s="8"/>
      <c r="C584" s="9"/>
      <c r="D584" s="8"/>
    </row>
    <row r="585" ht="22.5" customHeight="1">
      <c r="A585" s="7" t="s">
        <v>96</v>
      </c>
      <c r="B585" s="8"/>
      <c r="C585" s="9"/>
      <c r="D585" s="8"/>
    </row>
    <row r="586" ht="22.5" customHeight="1">
      <c r="A586" s="7" t="s">
        <v>96</v>
      </c>
      <c r="B586" s="8"/>
      <c r="C586" s="9"/>
      <c r="D586" s="8"/>
    </row>
    <row r="587" ht="22.5" customHeight="1">
      <c r="A587" s="7" t="s">
        <v>96</v>
      </c>
      <c r="B587" s="8"/>
      <c r="C587" s="9"/>
      <c r="D587" s="8"/>
    </row>
    <row r="588" ht="22.5" customHeight="1">
      <c r="A588" s="7" t="s">
        <v>96</v>
      </c>
      <c r="B588" s="8"/>
      <c r="C588" s="9"/>
      <c r="D588" s="8"/>
    </row>
    <row r="589" ht="22.5" customHeight="1">
      <c r="A589" s="7" t="s">
        <v>96</v>
      </c>
      <c r="B589" s="8"/>
      <c r="C589" s="9"/>
      <c r="D589" s="8"/>
    </row>
    <row r="590" ht="22.5" customHeight="1">
      <c r="A590" s="7" t="s">
        <v>96</v>
      </c>
      <c r="B590" s="8"/>
      <c r="C590" s="9"/>
      <c r="D590" s="8"/>
    </row>
    <row r="591" ht="22.5" customHeight="1">
      <c r="A591" s="7" t="s">
        <v>96</v>
      </c>
      <c r="B591" s="8"/>
      <c r="C591" s="9"/>
      <c r="D591" s="8"/>
    </row>
    <row r="592" ht="22.5" customHeight="1">
      <c r="A592" s="7" t="s">
        <v>96</v>
      </c>
      <c r="B592" s="8"/>
      <c r="C592" s="9"/>
      <c r="D592" s="8"/>
    </row>
    <row r="593" ht="22.5" customHeight="1">
      <c r="A593" s="7" t="s">
        <v>96</v>
      </c>
      <c r="B593" s="8"/>
      <c r="C593" s="9"/>
      <c r="D593" s="8"/>
    </row>
    <row r="594" ht="22.5" customHeight="1">
      <c r="A594" s="7" t="s">
        <v>96</v>
      </c>
      <c r="B594" s="8"/>
      <c r="C594" s="9"/>
      <c r="D594" s="8"/>
    </row>
    <row r="595" ht="22.5" customHeight="1">
      <c r="A595" s="7" t="s">
        <v>96</v>
      </c>
      <c r="B595" s="8"/>
      <c r="C595" s="9"/>
      <c r="D595" s="8"/>
    </row>
    <row r="596" ht="22.5" customHeight="1">
      <c r="A596" s="7" t="s">
        <v>96</v>
      </c>
      <c r="B596" s="8"/>
      <c r="C596" s="9"/>
      <c r="D596" s="8"/>
    </row>
    <row r="597" ht="22.5" customHeight="1">
      <c r="A597" s="7" t="s">
        <v>96</v>
      </c>
      <c r="B597" s="8"/>
      <c r="C597" s="9"/>
      <c r="D597" s="8"/>
    </row>
    <row r="598" ht="22.5" customHeight="1">
      <c r="A598" s="7" t="s">
        <v>96</v>
      </c>
      <c r="B598" s="8"/>
      <c r="C598" s="9"/>
      <c r="D598" s="8"/>
    </row>
    <row r="599" ht="22.5" customHeight="1">
      <c r="A599" s="7" t="s">
        <v>96</v>
      </c>
      <c r="B599" s="8"/>
      <c r="C599" s="9"/>
      <c r="D599" s="8"/>
    </row>
    <row r="600" ht="22.5" customHeight="1">
      <c r="A600" s="7" t="s">
        <v>96</v>
      </c>
      <c r="B600" s="8"/>
      <c r="C600" s="9"/>
      <c r="D600" s="8"/>
    </row>
    <row r="601" ht="22.5" customHeight="1">
      <c r="A601" s="7" t="s">
        <v>96</v>
      </c>
      <c r="B601" s="8"/>
      <c r="C601" s="9"/>
      <c r="D601" s="8"/>
    </row>
    <row r="602" ht="22.5" customHeight="1">
      <c r="A602" s="7" t="s">
        <v>96</v>
      </c>
      <c r="B602" s="8"/>
      <c r="C602" s="9"/>
      <c r="D602" s="8"/>
    </row>
    <row r="603" ht="22.5" customHeight="1">
      <c r="A603" s="7" t="s">
        <v>96</v>
      </c>
      <c r="B603" s="8"/>
      <c r="C603" s="9"/>
      <c r="D603" s="8"/>
    </row>
    <row r="604" ht="22.5" customHeight="1">
      <c r="A604" s="7" t="s">
        <v>96</v>
      </c>
      <c r="B604" s="8"/>
      <c r="C604" s="9"/>
      <c r="D604" s="8"/>
    </row>
    <row r="605" ht="22.5" customHeight="1">
      <c r="A605" s="7" t="s">
        <v>96</v>
      </c>
      <c r="B605" s="8"/>
      <c r="C605" s="9"/>
      <c r="D605" s="8"/>
    </row>
    <row r="606" ht="22.5" customHeight="1">
      <c r="A606" s="7" t="s">
        <v>96</v>
      </c>
      <c r="B606" s="8"/>
      <c r="C606" s="9"/>
      <c r="D606" s="8"/>
    </row>
    <row r="607" ht="22.5" customHeight="1">
      <c r="A607" s="7" t="s">
        <v>96</v>
      </c>
      <c r="B607" s="8"/>
      <c r="C607" s="9"/>
      <c r="D607" s="8"/>
    </row>
    <row r="608" ht="22.5" customHeight="1">
      <c r="A608" s="7" t="s">
        <v>96</v>
      </c>
      <c r="B608" s="8"/>
      <c r="C608" s="9"/>
      <c r="D608" s="8"/>
    </row>
    <row r="609" ht="22.5" customHeight="1">
      <c r="A609" s="7" t="s">
        <v>96</v>
      </c>
      <c r="B609" s="8"/>
      <c r="C609" s="9"/>
      <c r="D609" s="8"/>
    </row>
    <row r="610" ht="22.5" customHeight="1">
      <c r="A610" s="7" t="s">
        <v>96</v>
      </c>
      <c r="B610" s="8"/>
      <c r="C610" s="9"/>
      <c r="D610" s="8"/>
    </row>
    <row r="611" ht="22.5" customHeight="1">
      <c r="A611" s="7" t="s">
        <v>96</v>
      </c>
      <c r="B611" s="8"/>
      <c r="C611" s="9"/>
      <c r="D611" s="8"/>
    </row>
    <row r="612" ht="22.5" customHeight="1">
      <c r="A612" s="7" t="s">
        <v>96</v>
      </c>
      <c r="B612" s="8"/>
      <c r="C612" s="9"/>
      <c r="D612" s="8"/>
    </row>
    <row r="613" ht="22.5" customHeight="1">
      <c r="A613" s="7" t="s">
        <v>96</v>
      </c>
      <c r="B613" s="8"/>
      <c r="C613" s="9"/>
      <c r="D613" s="8"/>
    </row>
    <row r="614" ht="22.5" customHeight="1">
      <c r="A614" s="7" t="s">
        <v>96</v>
      </c>
      <c r="B614" s="8"/>
      <c r="C614" s="9"/>
      <c r="D614" s="8"/>
    </row>
    <row r="615" ht="22.5" customHeight="1">
      <c r="A615" s="7" t="s">
        <v>96</v>
      </c>
      <c r="B615" s="8"/>
      <c r="C615" s="9"/>
      <c r="D615" s="8"/>
    </row>
    <row r="616" ht="22.5" customHeight="1">
      <c r="A616" s="7" t="s">
        <v>96</v>
      </c>
      <c r="B616" s="8"/>
      <c r="C616" s="9"/>
      <c r="D616" s="8"/>
    </row>
    <row r="617" ht="22.5" customHeight="1">
      <c r="A617" s="7" t="s">
        <v>96</v>
      </c>
      <c r="B617" s="8"/>
      <c r="C617" s="9"/>
      <c r="D617" s="8"/>
    </row>
    <row r="618" ht="22.5" customHeight="1">
      <c r="A618" s="7" t="s">
        <v>96</v>
      </c>
      <c r="B618" s="8"/>
      <c r="C618" s="9"/>
      <c r="D618" s="8"/>
    </row>
    <row r="619" ht="22.5" customHeight="1">
      <c r="A619" s="7" t="s">
        <v>96</v>
      </c>
      <c r="B619" s="8"/>
      <c r="C619" s="9"/>
      <c r="D619" s="8"/>
    </row>
    <row r="620" ht="22.5" customHeight="1">
      <c r="A620" s="7" t="s">
        <v>96</v>
      </c>
      <c r="B620" s="8"/>
      <c r="C620" s="9"/>
      <c r="D620" s="8"/>
    </row>
    <row r="621" ht="22.5" customHeight="1">
      <c r="A621" s="7" t="s">
        <v>96</v>
      </c>
      <c r="B621" s="8"/>
      <c r="C621" s="9"/>
      <c r="D621" s="8"/>
    </row>
    <row r="622" ht="22.5" customHeight="1">
      <c r="A622" s="7" t="s">
        <v>96</v>
      </c>
      <c r="B622" s="8"/>
      <c r="C622" s="9"/>
      <c r="D622" s="8"/>
    </row>
    <row r="623" ht="22.5" customHeight="1">
      <c r="A623" s="7" t="s">
        <v>96</v>
      </c>
      <c r="B623" s="8"/>
      <c r="C623" s="9"/>
      <c r="D623" s="8"/>
    </row>
    <row r="624" ht="22.5" customHeight="1">
      <c r="A624" s="7" t="s">
        <v>96</v>
      </c>
      <c r="B624" s="8"/>
      <c r="C624" s="9"/>
      <c r="D624" s="8"/>
    </row>
    <row r="625" ht="22.5" customHeight="1">
      <c r="A625" s="7" t="s">
        <v>96</v>
      </c>
      <c r="B625" s="8"/>
      <c r="C625" s="9"/>
      <c r="D625" s="8"/>
    </row>
    <row r="626" ht="22.5" customHeight="1">
      <c r="A626" s="7" t="s">
        <v>96</v>
      </c>
      <c r="B626" s="8"/>
      <c r="C626" s="9"/>
      <c r="D626" s="8"/>
    </row>
    <row r="627" ht="22.5" customHeight="1">
      <c r="A627" s="7" t="s">
        <v>96</v>
      </c>
      <c r="B627" s="8"/>
      <c r="C627" s="9"/>
      <c r="D627" s="8"/>
    </row>
    <row r="628" ht="22.5" customHeight="1">
      <c r="A628" s="7" t="s">
        <v>96</v>
      </c>
      <c r="B628" s="8"/>
      <c r="C628" s="9"/>
      <c r="D628" s="8"/>
    </row>
    <row r="629" ht="22.5" customHeight="1">
      <c r="A629" s="7" t="s">
        <v>96</v>
      </c>
      <c r="B629" s="8"/>
      <c r="C629" s="9"/>
      <c r="D629" s="8"/>
    </row>
    <row r="630" ht="22.5" customHeight="1">
      <c r="A630" s="7" t="s">
        <v>96</v>
      </c>
      <c r="B630" s="8"/>
      <c r="C630" s="9"/>
      <c r="D630" s="8"/>
    </row>
    <row r="631" ht="22.5" customHeight="1">
      <c r="A631" s="7" t="s">
        <v>96</v>
      </c>
      <c r="B631" s="8"/>
      <c r="C631" s="9"/>
      <c r="D631" s="8"/>
    </row>
    <row r="632" ht="22.5" customHeight="1">
      <c r="A632" s="7" t="s">
        <v>96</v>
      </c>
      <c r="B632" s="8"/>
      <c r="C632" s="9"/>
      <c r="D632" s="8"/>
    </row>
    <row r="633" ht="22.5" customHeight="1">
      <c r="A633" s="7" t="s">
        <v>96</v>
      </c>
      <c r="B633" s="8"/>
      <c r="C633" s="9"/>
      <c r="D633" s="8"/>
    </row>
    <row r="634" ht="22.5" customHeight="1">
      <c r="A634" s="7" t="s">
        <v>96</v>
      </c>
      <c r="B634" s="8"/>
      <c r="C634" s="9"/>
      <c r="D634" s="8"/>
    </row>
    <row r="635" ht="22.5" customHeight="1">
      <c r="A635" s="7" t="s">
        <v>96</v>
      </c>
      <c r="B635" s="8"/>
      <c r="C635" s="9"/>
      <c r="D635" s="8"/>
    </row>
    <row r="636" ht="22.5" customHeight="1">
      <c r="A636" s="7" t="s">
        <v>96</v>
      </c>
      <c r="B636" s="8"/>
      <c r="C636" s="9"/>
      <c r="D636" s="8"/>
    </row>
    <row r="637" ht="22.5" customHeight="1">
      <c r="A637" s="7" t="s">
        <v>96</v>
      </c>
      <c r="B637" s="8"/>
      <c r="C637" s="9"/>
      <c r="D637" s="8"/>
    </row>
    <row r="638" ht="22.5" customHeight="1">
      <c r="A638" s="7" t="s">
        <v>96</v>
      </c>
      <c r="B638" s="8"/>
      <c r="C638" s="9"/>
      <c r="D638" s="8"/>
    </row>
    <row r="639" ht="22.5" customHeight="1">
      <c r="A639" s="7" t="s">
        <v>96</v>
      </c>
      <c r="B639" s="8"/>
      <c r="C639" s="9"/>
      <c r="D639" s="8"/>
    </row>
    <row r="640" ht="22.5" customHeight="1">
      <c r="A640" s="7" t="s">
        <v>96</v>
      </c>
      <c r="B640" s="8"/>
      <c r="C640" s="9"/>
      <c r="D640" s="8"/>
    </row>
    <row r="641" ht="22.5" customHeight="1">
      <c r="A641" s="7" t="s">
        <v>96</v>
      </c>
      <c r="B641" s="8"/>
      <c r="C641" s="9"/>
      <c r="D641" s="8"/>
    </row>
    <row r="642" ht="22.5" customHeight="1">
      <c r="A642" s="7" t="s">
        <v>96</v>
      </c>
      <c r="B642" s="8"/>
      <c r="C642" s="9"/>
      <c r="D642" s="8"/>
    </row>
    <row r="643" ht="22.5" customHeight="1">
      <c r="A643" s="7" t="s">
        <v>96</v>
      </c>
      <c r="B643" s="8"/>
      <c r="C643" s="9"/>
      <c r="D643" s="8"/>
    </row>
    <row r="644" ht="22.5" customHeight="1">
      <c r="A644" s="7" t="s">
        <v>96</v>
      </c>
      <c r="B644" s="8"/>
      <c r="C644" s="9"/>
      <c r="D644" s="8"/>
    </row>
    <row r="645" ht="22.5" customHeight="1">
      <c r="A645" s="7" t="s">
        <v>96</v>
      </c>
      <c r="B645" s="8"/>
      <c r="C645" s="9"/>
      <c r="D645" s="8"/>
    </row>
    <row r="646" ht="22.5" customHeight="1">
      <c r="A646" s="7" t="s">
        <v>96</v>
      </c>
      <c r="B646" s="8"/>
      <c r="C646" s="9"/>
      <c r="D646" s="8"/>
    </row>
    <row r="647" ht="22.5" customHeight="1">
      <c r="A647" s="7" t="s">
        <v>96</v>
      </c>
      <c r="B647" s="8"/>
      <c r="C647" s="9"/>
      <c r="D647" s="8"/>
    </row>
    <row r="648" ht="22.5" customHeight="1">
      <c r="A648" s="7" t="s">
        <v>96</v>
      </c>
      <c r="B648" s="8"/>
      <c r="C648" s="9"/>
      <c r="D648" s="8"/>
    </row>
    <row r="649" ht="22.5" customHeight="1">
      <c r="A649" s="7" t="s">
        <v>96</v>
      </c>
      <c r="B649" s="8"/>
      <c r="C649" s="9"/>
      <c r="D649" s="8"/>
    </row>
    <row r="650" ht="22.5" customHeight="1">
      <c r="A650" s="7" t="s">
        <v>96</v>
      </c>
      <c r="B650" s="8"/>
      <c r="C650" s="9"/>
      <c r="D650" s="8"/>
    </row>
    <row r="651" ht="22.5" customHeight="1">
      <c r="A651" s="7" t="s">
        <v>96</v>
      </c>
      <c r="B651" s="8"/>
      <c r="C651" s="9"/>
      <c r="D651" s="8"/>
    </row>
    <row r="652" ht="22.5" customHeight="1">
      <c r="A652" s="7" t="s">
        <v>96</v>
      </c>
      <c r="B652" s="8"/>
      <c r="C652" s="9"/>
      <c r="D652" s="8"/>
    </row>
    <row r="653" ht="22.5" customHeight="1">
      <c r="A653" s="7" t="s">
        <v>96</v>
      </c>
      <c r="B653" s="8"/>
      <c r="C653" s="9"/>
      <c r="D653" s="8"/>
    </row>
    <row r="654" ht="22.5" customHeight="1">
      <c r="A654" s="7" t="s">
        <v>96</v>
      </c>
      <c r="B654" s="8"/>
      <c r="C654" s="9"/>
      <c r="D654" s="8"/>
    </row>
    <row r="655" ht="22.5" customHeight="1">
      <c r="A655" s="7" t="s">
        <v>96</v>
      </c>
      <c r="B655" s="8"/>
      <c r="C655" s="9"/>
      <c r="D655" s="8"/>
    </row>
    <row r="656" ht="22.5" customHeight="1">
      <c r="A656" s="7" t="s">
        <v>96</v>
      </c>
      <c r="B656" s="8"/>
      <c r="C656" s="9"/>
      <c r="D656" s="8"/>
    </row>
    <row r="657" ht="22.5" customHeight="1">
      <c r="A657" s="7" t="s">
        <v>96</v>
      </c>
      <c r="B657" s="8"/>
      <c r="C657" s="9"/>
      <c r="D657" s="8"/>
    </row>
    <row r="658" ht="22.5" customHeight="1">
      <c r="A658" s="7" t="s">
        <v>96</v>
      </c>
      <c r="B658" s="8"/>
      <c r="C658" s="9"/>
      <c r="D658" s="8"/>
    </row>
    <row r="659" ht="22.5" customHeight="1">
      <c r="A659" s="7" t="s">
        <v>96</v>
      </c>
      <c r="B659" s="8"/>
      <c r="C659" s="9"/>
      <c r="D659" s="8"/>
    </row>
    <row r="660" ht="22.5" customHeight="1">
      <c r="A660" s="7" t="s">
        <v>96</v>
      </c>
      <c r="B660" s="8"/>
      <c r="C660" s="9"/>
      <c r="D660" s="8"/>
    </row>
  </sheetData>
  <dataValidations>
    <dataValidation type="list" allowBlank="1" sqref="D2:D660">
      <formula1>"Present,Absent,Late"</formula1>
    </dataValidation>
    <dataValidation type="custom" allowBlank="1" showDropDown="1" sqref="C2:C660">
      <formula1>OR(NOT(ISERROR(DATEVALUE(C2))), AND(ISNUMBER(C2), LEFT(CELL("format", C2))="D"))</formula1>
    </dataValidation>
    <dataValidation type="list" allowBlank="1" sqref="B2:B660">
      <formula1>#REF!</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1.25"/>
    <col customWidth="1" min="2" max="2" width="16.88"/>
    <col customWidth="1" min="3" max="3" width="21.0"/>
  </cols>
  <sheetData>
    <row r="1" ht="33.0" customHeight="1">
      <c r="A1" s="19" t="s">
        <v>203</v>
      </c>
      <c r="D1" s="20">
        <v>2026.0</v>
      </c>
      <c r="P1" s="21"/>
      <c r="Q1" s="21"/>
      <c r="R1" s="21"/>
      <c r="S1" s="21"/>
      <c r="T1" s="21"/>
      <c r="U1" s="21"/>
      <c r="V1" s="21"/>
      <c r="W1" s="21"/>
      <c r="X1" s="21"/>
      <c r="Y1" s="21"/>
      <c r="Z1" s="21"/>
    </row>
    <row r="2">
      <c r="A2" s="21"/>
      <c r="B2" s="21"/>
      <c r="C2" s="21"/>
      <c r="D2" s="21"/>
      <c r="E2" s="21"/>
      <c r="F2" s="21"/>
      <c r="G2" s="21"/>
      <c r="H2" s="21"/>
      <c r="I2" s="21"/>
      <c r="J2" s="21"/>
      <c r="K2" s="21"/>
      <c r="L2" s="21"/>
      <c r="M2" s="21"/>
      <c r="N2" s="21"/>
      <c r="O2" s="21"/>
      <c r="P2" s="21"/>
      <c r="Q2" s="21"/>
      <c r="R2" s="21"/>
      <c r="S2" s="21"/>
      <c r="T2" s="21"/>
      <c r="U2" s="21"/>
      <c r="V2" s="21"/>
      <c r="W2" s="21"/>
      <c r="X2" s="21"/>
      <c r="Y2" s="21"/>
      <c r="Z2" s="21"/>
    </row>
    <row r="3" ht="22.5" customHeight="1">
      <c r="A3" s="22" t="s">
        <v>0</v>
      </c>
      <c r="B3" s="22" t="s">
        <v>204</v>
      </c>
      <c r="C3" s="22" t="s">
        <v>205</v>
      </c>
      <c r="D3" s="23" t="s">
        <v>206</v>
      </c>
      <c r="E3" s="23" t="s">
        <v>207</v>
      </c>
      <c r="F3" s="23" t="s">
        <v>208</v>
      </c>
      <c r="G3" s="23" t="s">
        <v>209</v>
      </c>
      <c r="H3" s="23" t="s">
        <v>210</v>
      </c>
      <c r="I3" s="23" t="s">
        <v>211</v>
      </c>
      <c r="J3" s="23" t="s">
        <v>212</v>
      </c>
      <c r="K3" s="23" t="s">
        <v>213</v>
      </c>
      <c r="L3" s="23" t="s">
        <v>214</v>
      </c>
      <c r="M3" s="23" t="s">
        <v>215</v>
      </c>
      <c r="N3" s="23" t="s">
        <v>216</v>
      </c>
      <c r="O3" s="23" t="s">
        <v>217</v>
      </c>
      <c r="P3" s="21"/>
      <c r="Q3" s="21"/>
      <c r="R3" s="21"/>
      <c r="S3" s="21"/>
      <c r="T3" s="21"/>
      <c r="U3" s="21"/>
      <c r="V3" s="21"/>
      <c r="W3" s="21"/>
      <c r="X3" s="21"/>
      <c r="Y3" s="21"/>
      <c r="Z3" s="21"/>
    </row>
    <row r="4" ht="22.5" customHeight="1">
      <c r="A4" s="24" t="str">
        <f t="array" ref="A4:C47">IF(COUNTA(Students!A2:A50)=0, "No Students Found", IFERROR(Students!A2:C50, ""))</f>
        <v>STU-F-001</v>
      </c>
      <c r="B4" s="25" t="s">
        <v>218</v>
      </c>
      <c r="C4" s="26" t="s">
        <v>44</v>
      </c>
      <c r="D4" s="27"/>
      <c r="E4" s="27"/>
      <c r="F4" s="27"/>
      <c r="G4" s="27"/>
      <c r="H4" s="27"/>
      <c r="I4" s="27"/>
      <c r="J4" s="27"/>
      <c r="K4" s="27"/>
      <c r="L4" s="27"/>
      <c r="M4" s="27"/>
      <c r="N4" s="27"/>
      <c r="O4" s="28"/>
      <c r="P4" s="21"/>
      <c r="Q4" s="21"/>
      <c r="R4" s="21"/>
      <c r="S4" s="21"/>
      <c r="T4" s="21"/>
      <c r="U4" s="21"/>
      <c r="V4" s="21"/>
      <c r="W4" s="21"/>
      <c r="X4" s="21"/>
      <c r="Y4" s="21"/>
      <c r="Z4" s="21"/>
    </row>
    <row r="5" ht="22.5" customHeight="1">
      <c r="A5" s="29" t="s">
        <v>49</v>
      </c>
      <c r="B5" s="30" t="s">
        <v>219</v>
      </c>
      <c r="C5" s="30" t="s">
        <v>50</v>
      </c>
      <c r="D5" s="31"/>
      <c r="E5" s="31"/>
      <c r="F5" s="31"/>
      <c r="G5" s="31"/>
      <c r="H5" s="31"/>
      <c r="I5" s="31"/>
      <c r="J5" s="31"/>
      <c r="K5" s="31"/>
      <c r="L5" s="31"/>
      <c r="M5" s="31"/>
      <c r="N5" s="31"/>
      <c r="O5" s="32"/>
      <c r="P5" s="21"/>
      <c r="Q5" s="21"/>
      <c r="R5" s="21"/>
      <c r="S5" s="21"/>
      <c r="T5" s="21"/>
      <c r="U5" s="21"/>
      <c r="V5" s="21"/>
      <c r="W5" s="21"/>
      <c r="X5" s="21"/>
      <c r="Y5" s="21"/>
      <c r="Z5" s="21"/>
    </row>
    <row r="6" ht="22.5" customHeight="1">
      <c r="A6" s="33" t="s">
        <v>51</v>
      </c>
      <c r="B6" s="34" t="s">
        <v>220</v>
      </c>
      <c r="C6" s="34" t="s">
        <v>52</v>
      </c>
      <c r="D6" s="35" t="s">
        <v>221</v>
      </c>
      <c r="E6" s="35"/>
      <c r="F6" s="27"/>
      <c r="G6" s="27"/>
      <c r="H6" s="27"/>
      <c r="I6" s="27"/>
      <c r="J6" s="27"/>
      <c r="K6" s="27"/>
      <c r="L6" s="27"/>
      <c r="M6" s="35"/>
      <c r="N6" s="35"/>
      <c r="O6" s="36"/>
      <c r="P6" s="21"/>
      <c r="Q6" s="21"/>
      <c r="R6" s="21"/>
      <c r="S6" s="21"/>
      <c r="T6" s="21"/>
      <c r="U6" s="21"/>
      <c r="V6" s="21"/>
      <c r="W6" s="21"/>
      <c r="X6" s="21"/>
      <c r="Y6" s="21"/>
      <c r="Z6" s="21"/>
    </row>
    <row r="7" ht="22.5" customHeight="1">
      <c r="A7" s="37" t="s">
        <v>85</v>
      </c>
      <c r="B7" s="30" t="s">
        <v>222</v>
      </c>
      <c r="C7" s="30" t="s">
        <v>86</v>
      </c>
      <c r="D7" s="31"/>
      <c r="E7" s="31"/>
      <c r="F7" s="31"/>
      <c r="G7" s="31"/>
      <c r="H7" s="31"/>
      <c r="I7" s="31"/>
      <c r="J7" s="31"/>
      <c r="K7" s="31"/>
      <c r="L7" s="31"/>
      <c r="M7" s="38"/>
      <c r="N7" s="38"/>
      <c r="O7" s="39"/>
      <c r="P7" s="21"/>
      <c r="Q7" s="21"/>
      <c r="R7" s="21"/>
      <c r="S7" s="21"/>
      <c r="T7" s="21"/>
      <c r="U7" s="21"/>
      <c r="V7" s="21"/>
      <c r="W7" s="21"/>
      <c r="X7" s="21"/>
      <c r="Y7" s="21"/>
      <c r="Z7" s="21"/>
    </row>
    <row r="8" ht="22.5" customHeight="1">
      <c r="A8" s="33" t="s">
        <v>201</v>
      </c>
      <c r="B8" s="34" t="s">
        <v>223</v>
      </c>
      <c r="C8" s="34" t="s">
        <v>202</v>
      </c>
      <c r="D8" s="27"/>
      <c r="E8" s="27"/>
      <c r="F8" s="27"/>
      <c r="G8" s="27"/>
      <c r="H8" s="27"/>
      <c r="I8" s="27"/>
      <c r="J8" s="27"/>
      <c r="K8" s="27"/>
      <c r="L8" s="27"/>
      <c r="M8" s="35"/>
      <c r="N8" s="27"/>
      <c r="O8" s="28"/>
      <c r="P8" s="21"/>
      <c r="Q8" s="21"/>
      <c r="R8" s="21"/>
      <c r="S8" s="21"/>
      <c r="T8" s="21"/>
      <c r="U8" s="21"/>
      <c r="V8" s="21"/>
      <c r="W8" s="21"/>
      <c r="X8" s="21"/>
      <c r="Y8" s="21"/>
      <c r="Z8" s="21"/>
    </row>
    <row r="9" ht="22.5" customHeight="1">
      <c r="A9" s="37" t="s">
        <v>58</v>
      </c>
      <c r="B9" s="30" t="s">
        <v>224</v>
      </c>
      <c r="C9" s="30" t="s">
        <v>59</v>
      </c>
      <c r="D9" s="31"/>
      <c r="E9" s="31"/>
      <c r="F9" s="31"/>
      <c r="G9" s="31"/>
      <c r="H9" s="31"/>
      <c r="I9" s="31"/>
      <c r="J9" s="31"/>
      <c r="K9" s="31"/>
      <c r="L9" s="31"/>
      <c r="M9" s="38"/>
      <c r="N9" s="38"/>
      <c r="O9" s="39"/>
      <c r="P9" s="21"/>
      <c r="Q9" s="21"/>
      <c r="R9" s="21"/>
      <c r="S9" s="21"/>
      <c r="T9" s="21"/>
      <c r="U9" s="21"/>
      <c r="V9" s="21"/>
      <c r="W9" s="21"/>
      <c r="X9" s="21"/>
      <c r="Y9" s="21"/>
      <c r="Z9" s="21"/>
    </row>
    <row r="10" ht="22.5" customHeight="1">
      <c r="A10" s="33" t="s">
        <v>61</v>
      </c>
      <c r="B10" s="34" t="s">
        <v>225</v>
      </c>
      <c r="C10" s="34" t="s">
        <v>62</v>
      </c>
      <c r="D10" s="27"/>
      <c r="E10" s="27"/>
      <c r="F10" s="27"/>
      <c r="G10" s="27"/>
      <c r="H10" s="27"/>
      <c r="I10" s="27"/>
      <c r="J10" s="27"/>
      <c r="K10" s="27"/>
      <c r="L10" s="27"/>
      <c r="M10" s="27"/>
      <c r="N10" s="27"/>
      <c r="O10" s="28"/>
      <c r="P10" s="21"/>
      <c r="Q10" s="21"/>
      <c r="R10" s="21"/>
      <c r="S10" s="21"/>
      <c r="T10" s="21"/>
      <c r="U10" s="21"/>
      <c r="V10" s="21"/>
      <c r="W10" s="21"/>
      <c r="X10" s="21"/>
      <c r="Y10" s="21"/>
      <c r="Z10" s="21"/>
    </row>
    <row r="11" ht="22.5" customHeight="1">
      <c r="A11" s="37" t="s">
        <v>88</v>
      </c>
      <c r="B11" s="30" t="s">
        <v>226</v>
      </c>
      <c r="C11" s="30" t="s">
        <v>89</v>
      </c>
      <c r="D11" s="31"/>
      <c r="E11" s="31"/>
      <c r="F11" s="31"/>
      <c r="G11" s="31"/>
      <c r="H11" s="31"/>
      <c r="I11" s="31"/>
      <c r="J11" s="31"/>
      <c r="K11" s="31"/>
      <c r="L11" s="31"/>
      <c r="M11" s="31"/>
      <c r="N11" s="38"/>
      <c r="O11" s="32"/>
      <c r="P11" s="21"/>
      <c r="Q11" s="21"/>
      <c r="R11" s="21"/>
      <c r="S11" s="21"/>
      <c r="T11" s="21"/>
      <c r="U11" s="21"/>
      <c r="V11" s="21"/>
      <c r="W11" s="21"/>
      <c r="X11" s="21"/>
      <c r="Y11" s="21"/>
      <c r="Z11" s="21"/>
    </row>
    <row r="12" ht="22.5" customHeight="1">
      <c r="A12" s="33" t="s">
        <v>227</v>
      </c>
      <c r="B12" s="34" t="s">
        <v>228</v>
      </c>
      <c r="C12" s="34" t="s">
        <v>229</v>
      </c>
      <c r="D12" s="27"/>
      <c r="E12" s="27"/>
      <c r="F12" s="27"/>
      <c r="G12" s="27"/>
      <c r="H12" s="27"/>
      <c r="I12" s="27"/>
      <c r="J12" s="27"/>
      <c r="K12" s="27"/>
      <c r="L12" s="27"/>
      <c r="M12" s="27"/>
      <c r="N12" s="27"/>
      <c r="O12" s="28"/>
      <c r="P12" s="21"/>
      <c r="Q12" s="21"/>
      <c r="R12" s="21"/>
      <c r="S12" s="21"/>
      <c r="T12" s="21"/>
      <c r="U12" s="21"/>
      <c r="V12" s="21"/>
      <c r="W12" s="21"/>
      <c r="X12" s="21"/>
      <c r="Y12" s="21"/>
      <c r="Z12" s="21"/>
    </row>
    <row r="13" ht="22.5" customHeight="1">
      <c r="A13" s="37" t="s">
        <v>230</v>
      </c>
      <c r="B13" s="30" t="s">
        <v>231</v>
      </c>
      <c r="C13" s="30" t="s">
        <v>232</v>
      </c>
      <c r="D13" s="31"/>
      <c r="E13" s="31"/>
      <c r="F13" s="31"/>
      <c r="G13" s="31"/>
      <c r="H13" s="31"/>
      <c r="I13" s="31"/>
      <c r="J13" s="31"/>
      <c r="K13" s="31"/>
      <c r="L13" s="31"/>
      <c r="M13" s="31"/>
      <c r="N13" s="31"/>
      <c r="O13" s="32"/>
      <c r="P13" s="21"/>
      <c r="Q13" s="21"/>
      <c r="R13" s="21"/>
      <c r="S13" s="21"/>
      <c r="T13" s="21"/>
      <c r="U13" s="21"/>
      <c r="V13" s="21"/>
      <c r="W13" s="21"/>
      <c r="X13" s="21"/>
      <c r="Y13" s="21"/>
      <c r="Z13" s="21"/>
    </row>
    <row r="14" ht="22.5" customHeight="1">
      <c r="A14" s="33" t="s">
        <v>233</v>
      </c>
      <c r="B14" s="34" t="s">
        <v>234</v>
      </c>
      <c r="C14" s="34" t="s">
        <v>235</v>
      </c>
      <c r="D14" s="27"/>
      <c r="E14" s="27"/>
      <c r="F14" s="27"/>
      <c r="G14" s="27"/>
      <c r="H14" s="27"/>
      <c r="I14" s="27"/>
      <c r="J14" s="27"/>
      <c r="K14" s="27"/>
      <c r="L14" s="27"/>
      <c r="M14" s="27"/>
      <c r="N14" s="27"/>
      <c r="O14" s="28"/>
      <c r="P14" s="21"/>
      <c r="Q14" s="21"/>
      <c r="R14" s="21"/>
      <c r="S14" s="21"/>
      <c r="T14" s="21"/>
      <c r="U14" s="21"/>
      <c r="V14" s="21"/>
      <c r="W14" s="21"/>
      <c r="X14" s="21"/>
      <c r="Y14" s="21"/>
      <c r="Z14" s="21"/>
    </row>
    <row r="15" ht="22.5" customHeight="1">
      <c r="A15" s="37" t="s">
        <v>70</v>
      </c>
      <c r="B15" s="30" t="s">
        <v>236</v>
      </c>
      <c r="C15" s="30" t="s">
        <v>71</v>
      </c>
      <c r="D15" s="31"/>
      <c r="E15" s="31"/>
      <c r="F15" s="31"/>
      <c r="G15" s="31"/>
      <c r="H15" s="31"/>
      <c r="I15" s="31"/>
      <c r="J15" s="31"/>
      <c r="K15" s="31"/>
      <c r="L15" s="31"/>
      <c r="M15" s="31"/>
      <c r="N15" s="38"/>
      <c r="O15" s="39"/>
      <c r="P15" s="21"/>
      <c r="Q15" s="21"/>
      <c r="R15" s="21"/>
      <c r="S15" s="21"/>
      <c r="T15" s="21"/>
      <c r="U15" s="21"/>
      <c r="V15" s="21"/>
      <c r="W15" s="21"/>
      <c r="X15" s="21"/>
      <c r="Y15" s="21"/>
      <c r="Z15" s="21"/>
    </row>
    <row r="16" ht="22.5" customHeight="1">
      <c r="A16" s="33" t="s">
        <v>115</v>
      </c>
      <c r="B16" s="34" t="s">
        <v>237</v>
      </c>
      <c r="C16" s="34" t="s">
        <v>117</v>
      </c>
      <c r="D16" s="35" t="s">
        <v>221</v>
      </c>
      <c r="E16" s="27"/>
      <c r="F16" s="27"/>
      <c r="G16" s="27"/>
      <c r="H16" s="27"/>
      <c r="I16" s="27"/>
      <c r="J16" s="27"/>
      <c r="K16" s="27"/>
      <c r="L16" s="27"/>
      <c r="M16" s="27"/>
      <c r="N16" s="35"/>
      <c r="O16" s="36"/>
      <c r="P16" s="21"/>
      <c r="Q16" s="21"/>
      <c r="R16" s="21"/>
      <c r="S16" s="21"/>
      <c r="T16" s="21"/>
      <c r="U16" s="21"/>
      <c r="V16" s="21"/>
      <c r="W16" s="21"/>
      <c r="X16" s="21"/>
      <c r="Y16" s="21"/>
      <c r="Z16" s="21"/>
    </row>
    <row r="17" ht="22.5" customHeight="1">
      <c r="A17" s="37" t="s">
        <v>118</v>
      </c>
      <c r="B17" s="30" t="s">
        <v>238</v>
      </c>
      <c r="C17" s="30" t="s">
        <v>119</v>
      </c>
      <c r="D17" s="31"/>
      <c r="E17" s="31"/>
      <c r="F17" s="31"/>
      <c r="G17" s="31"/>
      <c r="H17" s="31"/>
      <c r="I17" s="31"/>
      <c r="J17" s="31"/>
      <c r="K17" s="31"/>
      <c r="L17" s="31"/>
      <c r="M17" s="31"/>
      <c r="N17" s="38"/>
      <c r="O17" s="39"/>
      <c r="P17" s="21"/>
      <c r="Q17" s="21"/>
      <c r="R17" s="21"/>
      <c r="S17" s="21"/>
      <c r="T17" s="21"/>
      <c r="U17" s="21"/>
      <c r="V17" s="21"/>
      <c r="W17" s="21"/>
      <c r="X17" s="21"/>
      <c r="Y17" s="21"/>
      <c r="Z17" s="21"/>
    </row>
    <row r="18" ht="22.5" customHeight="1">
      <c r="A18" s="33" t="s">
        <v>90</v>
      </c>
      <c r="B18" s="34" t="s">
        <v>239</v>
      </c>
      <c r="C18" s="34" t="s">
        <v>91</v>
      </c>
      <c r="D18" s="27"/>
      <c r="E18" s="27"/>
      <c r="F18" s="27"/>
      <c r="G18" s="27"/>
      <c r="H18" s="27"/>
      <c r="I18" s="27"/>
      <c r="J18" s="27"/>
      <c r="K18" s="27"/>
      <c r="L18" s="27"/>
      <c r="M18" s="27"/>
      <c r="N18" s="35"/>
      <c r="O18" s="36"/>
      <c r="P18" s="21"/>
      <c r="Q18" s="21"/>
      <c r="R18" s="21"/>
      <c r="S18" s="21"/>
      <c r="T18" s="21"/>
      <c r="U18" s="21"/>
      <c r="V18" s="21"/>
      <c r="W18" s="21"/>
      <c r="X18" s="21"/>
      <c r="Y18" s="21"/>
      <c r="Z18" s="21"/>
    </row>
    <row r="19" ht="22.5" customHeight="1">
      <c r="A19" s="40" t="s">
        <v>92</v>
      </c>
      <c r="B19" s="41" t="s">
        <v>240</v>
      </c>
      <c r="C19" s="41" t="s">
        <v>93</v>
      </c>
      <c r="D19" s="42"/>
      <c r="E19" s="42"/>
      <c r="F19" s="42"/>
      <c r="G19" s="42"/>
      <c r="H19" s="42"/>
      <c r="I19" s="42"/>
      <c r="J19" s="42"/>
      <c r="K19" s="42"/>
      <c r="L19" s="42"/>
      <c r="M19" s="42"/>
      <c r="N19" s="43"/>
      <c r="O19" s="44"/>
      <c r="P19" s="21"/>
      <c r="Q19" s="21"/>
      <c r="R19" s="21"/>
      <c r="S19" s="21"/>
      <c r="T19" s="21"/>
      <c r="U19" s="21"/>
      <c r="V19" s="21"/>
      <c r="W19" s="21"/>
      <c r="X19" s="21"/>
      <c r="Y19" s="21"/>
      <c r="Z19" s="21"/>
    </row>
    <row r="20" ht="22.5" customHeight="1">
      <c r="A20" s="6" t="s">
        <v>94</v>
      </c>
      <c r="B20" s="6" t="s">
        <v>241</v>
      </c>
      <c r="C20" s="6" t="s">
        <v>95</v>
      </c>
      <c r="D20" s="45"/>
      <c r="E20" s="45"/>
      <c r="F20" s="45"/>
      <c r="G20" s="45"/>
      <c r="H20" s="45"/>
      <c r="I20" s="45"/>
      <c r="J20" s="45"/>
      <c r="K20" s="45"/>
      <c r="L20" s="45"/>
      <c r="M20" s="45"/>
      <c r="N20" s="45"/>
      <c r="O20" s="10"/>
      <c r="P20" s="46"/>
      <c r="Q20" s="46"/>
      <c r="R20" s="46"/>
      <c r="S20" s="46"/>
      <c r="T20" s="46"/>
      <c r="U20" s="46"/>
      <c r="V20" s="46"/>
      <c r="W20" s="46"/>
      <c r="X20" s="46"/>
      <c r="Y20" s="46"/>
      <c r="Z20" s="46"/>
    </row>
    <row r="21" ht="22.5" customHeight="1">
      <c r="A21" s="6" t="s">
        <v>120</v>
      </c>
      <c r="B21" s="6" t="s">
        <v>242</v>
      </c>
      <c r="C21" s="6" t="s">
        <v>121</v>
      </c>
      <c r="D21" s="45"/>
      <c r="E21" s="45"/>
      <c r="F21" s="45"/>
      <c r="G21" s="45"/>
      <c r="H21" s="45"/>
      <c r="I21" s="45"/>
      <c r="J21" s="45"/>
      <c r="K21" s="45"/>
      <c r="L21" s="45"/>
      <c r="M21" s="45"/>
      <c r="N21" s="10"/>
      <c r="O21" s="10"/>
      <c r="P21" s="46"/>
      <c r="Q21" s="46"/>
      <c r="R21" s="46"/>
      <c r="S21" s="46"/>
      <c r="T21" s="46"/>
      <c r="U21" s="46"/>
      <c r="V21" s="46"/>
      <c r="W21" s="46"/>
      <c r="X21" s="46"/>
      <c r="Y21" s="46"/>
      <c r="Z21" s="46"/>
    </row>
    <row r="22" ht="22.5" customHeight="1">
      <c r="A22" s="6" t="s">
        <v>109</v>
      </c>
      <c r="B22" s="6" t="s">
        <v>243</v>
      </c>
      <c r="C22" s="6" t="s">
        <v>110</v>
      </c>
      <c r="D22" s="45"/>
      <c r="E22" s="45"/>
      <c r="F22" s="45"/>
      <c r="G22" s="45"/>
      <c r="H22" s="45"/>
      <c r="I22" s="45"/>
      <c r="J22" s="45"/>
      <c r="K22" s="45"/>
      <c r="L22" s="45"/>
      <c r="M22" s="45"/>
      <c r="N22" s="45"/>
      <c r="O22" s="10"/>
      <c r="P22" s="46"/>
      <c r="Q22" s="46"/>
      <c r="R22" s="46"/>
      <c r="S22" s="46"/>
      <c r="T22" s="46"/>
      <c r="U22" s="46"/>
      <c r="V22" s="46"/>
      <c r="W22" s="46"/>
      <c r="X22" s="46"/>
      <c r="Y22" s="46"/>
      <c r="Z22" s="46"/>
    </row>
    <row r="23" ht="22.5" customHeight="1">
      <c r="A23" s="6" t="s">
        <v>111</v>
      </c>
      <c r="B23" s="6" t="s">
        <v>244</v>
      </c>
      <c r="C23" s="6" t="s">
        <v>112</v>
      </c>
      <c r="D23" s="45"/>
      <c r="E23" s="45"/>
      <c r="F23" s="45"/>
      <c r="G23" s="45"/>
      <c r="H23" s="45"/>
      <c r="I23" s="45"/>
      <c r="J23" s="45"/>
      <c r="K23" s="45"/>
      <c r="L23" s="45"/>
      <c r="M23" s="45"/>
      <c r="N23" s="45"/>
      <c r="O23" s="10"/>
      <c r="P23" s="46"/>
      <c r="Q23" s="46"/>
      <c r="R23" s="46"/>
      <c r="S23" s="46"/>
      <c r="T23" s="46"/>
      <c r="U23" s="46"/>
      <c r="V23" s="46"/>
      <c r="W23" s="46"/>
      <c r="X23" s="46"/>
      <c r="Y23" s="46"/>
      <c r="Z23" s="46"/>
    </row>
    <row r="24" ht="22.5" customHeight="1">
      <c r="A24" s="6" t="s">
        <v>122</v>
      </c>
      <c r="B24" s="6" t="s">
        <v>245</v>
      </c>
      <c r="C24" s="6" t="s">
        <v>123</v>
      </c>
      <c r="D24" s="45"/>
      <c r="E24" s="45"/>
      <c r="F24" s="45"/>
      <c r="G24" s="45"/>
      <c r="H24" s="45"/>
      <c r="I24" s="45"/>
      <c r="J24" s="45"/>
      <c r="K24" s="45"/>
      <c r="L24" s="45"/>
      <c r="M24" s="45"/>
      <c r="N24" s="10"/>
      <c r="O24" s="10"/>
      <c r="P24" s="46"/>
      <c r="Q24" s="46"/>
      <c r="R24" s="46"/>
      <c r="S24" s="46"/>
      <c r="T24" s="46"/>
      <c r="U24" s="46"/>
      <c r="V24" s="46"/>
      <c r="W24" s="46"/>
      <c r="X24" s="46"/>
      <c r="Y24" s="46"/>
      <c r="Z24" s="46"/>
    </row>
    <row r="25" ht="22.5" customHeight="1">
      <c r="A25" s="6" t="s">
        <v>107</v>
      </c>
      <c r="B25" s="6" t="s">
        <v>246</v>
      </c>
      <c r="C25" s="6" t="s">
        <v>247</v>
      </c>
      <c r="D25" s="45"/>
      <c r="E25" s="45"/>
      <c r="F25" s="45"/>
      <c r="G25" s="45"/>
      <c r="H25" s="45"/>
      <c r="I25" s="45"/>
      <c r="J25" s="45"/>
      <c r="K25" s="45"/>
      <c r="L25" s="45"/>
      <c r="M25" s="45"/>
      <c r="N25" s="10"/>
      <c r="O25" s="10"/>
      <c r="P25" s="46"/>
      <c r="Q25" s="46"/>
      <c r="R25" s="46"/>
      <c r="S25" s="46"/>
      <c r="T25" s="46"/>
      <c r="U25" s="46"/>
      <c r="V25" s="46"/>
      <c r="W25" s="46"/>
      <c r="X25" s="46"/>
      <c r="Y25" s="46"/>
      <c r="Z25" s="46"/>
    </row>
    <row r="26" ht="22.5" customHeight="1">
      <c r="A26" s="6" t="s">
        <v>124</v>
      </c>
      <c r="B26" s="6" t="s">
        <v>248</v>
      </c>
      <c r="C26" s="6" t="s">
        <v>125</v>
      </c>
      <c r="D26" s="45"/>
      <c r="E26" s="45"/>
      <c r="F26" s="45"/>
      <c r="G26" s="45"/>
      <c r="H26" s="45"/>
      <c r="I26" s="45"/>
      <c r="J26" s="45"/>
      <c r="K26" s="45"/>
      <c r="L26" s="45"/>
      <c r="M26" s="45"/>
      <c r="N26" s="10"/>
      <c r="O26" s="10"/>
      <c r="P26" s="46"/>
      <c r="Q26" s="46"/>
      <c r="R26" s="46"/>
      <c r="S26" s="46"/>
      <c r="T26" s="46"/>
      <c r="U26" s="46"/>
      <c r="V26" s="46"/>
      <c r="W26" s="46"/>
      <c r="X26" s="46"/>
      <c r="Y26" s="46"/>
      <c r="Z26" s="46"/>
    </row>
    <row r="27" ht="22.5" customHeight="1">
      <c r="A27" s="6" t="s">
        <v>113</v>
      </c>
      <c r="B27" s="6" t="s">
        <v>249</v>
      </c>
      <c r="C27" s="6" t="s">
        <v>114</v>
      </c>
      <c r="D27" s="10" t="s">
        <v>221</v>
      </c>
      <c r="E27" s="45"/>
      <c r="F27" s="45"/>
      <c r="G27" s="45"/>
      <c r="H27" s="45"/>
      <c r="I27" s="45"/>
      <c r="J27" s="45"/>
      <c r="K27" s="45"/>
      <c r="L27" s="45"/>
      <c r="M27" s="45"/>
      <c r="N27" s="45"/>
      <c r="O27" s="10"/>
      <c r="P27" s="46"/>
      <c r="Q27" s="46"/>
      <c r="R27" s="46"/>
      <c r="S27" s="46"/>
      <c r="T27" s="46"/>
      <c r="U27" s="46"/>
      <c r="V27" s="46"/>
      <c r="W27" s="46"/>
      <c r="X27" s="46"/>
      <c r="Y27" s="46"/>
      <c r="Z27" s="46"/>
    </row>
    <row r="28" ht="22.5" customHeight="1">
      <c r="A28" s="6" t="s">
        <v>126</v>
      </c>
      <c r="B28" s="6" t="s">
        <v>250</v>
      </c>
      <c r="C28" s="6" t="s">
        <v>127</v>
      </c>
      <c r="D28" s="10" t="s">
        <v>221</v>
      </c>
      <c r="E28" s="45"/>
      <c r="F28" s="45"/>
      <c r="G28" s="45"/>
      <c r="H28" s="45"/>
      <c r="I28" s="45"/>
      <c r="J28" s="45"/>
      <c r="K28" s="45"/>
      <c r="L28" s="45"/>
      <c r="M28" s="45"/>
      <c r="N28" s="45"/>
      <c r="O28" s="10"/>
      <c r="P28" s="46"/>
      <c r="Q28" s="46"/>
      <c r="R28" s="46"/>
      <c r="S28" s="46"/>
      <c r="T28" s="46"/>
      <c r="U28" s="46"/>
      <c r="V28" s="46"/>
      <c r="W28" s="46"/>
      <c r="X28" s="46"/>
      <c r="Y28" s="46"/>
      <c r="Z28" s="46"/>
    </row>
    <row r="29" ht="22.5" customHeight="1">
      <c r="A29" s="6" t="s">
        <v>74</v>
      </c>
      <c r="B29" s="6" t="s">
        <v>251</v>
      </c>
      <c r="C29" s="6" t="s">
        <v>75</v>
      </c>
      <c r="D29" s="45"/>
      <c r="E29" s="45"/>
      <c r="F29" s="45"/>
      <c r="G29" s="45"/>
      <c r="H29" s="45"/>
      <c r="I29" s="45"/>
      <c r="J29" s="45"/>
      <c r="K29" s="45"/>
      <c r="L29" s="45"/>
      <c r="M29" s="45"/>
      <c r="N29" s="45"/>
      <c r="O29" s="10"/>
      <c r="P29" s="46"/>
      <c r="Q29" s="46"/>
      <c r="R29" s="46"/>
      <c r="S29" s="46"/>
      <c r="T29" s="46"/>
      <c r="U29" s="46"/>
      <c r="V29" s="46"/>
      <c r="W29" s="46"/>
      <c r="X29" s="46"/>
      <c r="Y29" s="46"/>
      <c r="Z29" s="46"/>
    </row>
    <row r="30" ht="22.5" customHeight="1">
      <c r="A30" s="6" t="s">
        <v>128</v>
      </c>
      <c r="B30" s="6" t="s">
        <v>252</v>
      </c>
      <c r="C30" s="6" t="s">
        <v>129</v>
      </c>
      <c r="D30" s="45"/>
      <c r="E30" s="45"/>
      <c r="F30" s="45"/>
      <c r="G30" s="45"/>
      <c r="H30" s="45"/>
      <c r="I30" s="45"/>
      <c r="J30" s="45"/>
      <c r="K30" s="45"/>
      <c r="L30" s="45"/>
      <c r="M30" s="45"/>
      <c r="N30" s="45"/>
      <c r="O30" s="45"/>
      <c r="P30" s="46"/>
      <c r="Q30" s="46"/>
      <c r="R30" s="46"/>
      <c r="S30" s="46"/>
      <c r="T30" s="46"/>
      <c r="U30" s="46"/>
      <c r="V30" s="46"/>
      <c r="W30" s="46"/>
      <c r="X30" s="46"/>
      <c r="Y30" s="46"/>
      <c r="Z30" s="46"/>
    </row>
    <row r="31" ht="22.5" customHeight="1">
      <c r="A31" s="6" t="s">
        <v>130</v>
      </c>
      <c r="B31" s="6" t="s">
        <v>253</v>
      </c>
      <c r="C31" s="6" t="s">
        <v>131</v>
      </c>
      <c r="D31" s="10" t="s">
        <v>221</v>
      </c>
      <c r="E31" s="45"/>
      <c r="F31" s="45"/>
      <c r="G31" s="45"/>
      <c r="H31" s="45"/>
      <c r="I31" s="45"/>
      <c r="J31" s="45"/>
      <c r="K31" s="45"/>
      <c r="L31" s="45"/>
      <c r="M31" s="45"/>
      <c r="N31" s="45"/>
      <c r="O31" s="45"/>
      <c r="P31" s="46"/>
      <c r="Q31" s="46"/>
      <c r="R31" s="46"/>
      <c r="S31" s="46"/>
      <c r="T31" s="46"/>
      <c r="U31" s="46"/>
      <c r="V31" s="46"/>
      <c r="W31" s="46"/>
      <c r="X31" s="46"/>
      <c r="Y31" s="46"/>
      <c r="Z31" s="46"/>
    </row>
    <row r="32" ht="22.5" customHeight="1">
      <c r="A32" s="6" t="s">
        <v>132</v>
      </c>
      <c r="B32" s="6" t="s">
        <v>254</v>
      </c>
      <c r="C32" s="6" t="s">
        <v>133</v>
      </c>
      <c r="D32" s="10" t="s">
        <v>221</v>
      </c>
      <c r="E32" s="45"/>
      <c r="F32" s="45"/>
      <c r="G32" s="45"/>
      <c r="H32" s="45"/>
      <c r="I32" s="45"/>
      <c r="J32" s="45"/>
      <c r="K32" s="45"/>
      <c r="L32" s="45"/>
      <c r="M32" s="45"/>
      <c r="N32" s="45"/>
      <c r="O32" s="45"/>
      <c r="P32" s="46"/>
      <c r="Q32" s="46"/>
      <c r="R32" s="46"/>
      <c r="S32" s="46"/>
      <c r="T32" s="46"/>
      <c r="U32" s="46"/>
      <c r="V32" s="46"/>
      <c r="W32" s="46"/>
      <c r="X32" s="46"/>
      <c r="Y32" s="46"/>
      <c r="Z32" s="46"/>
    </row>
    <row r="33" ht="22.5" customHeight="1">
      <c r="A33" s="6" t="s">
        <v>134</v>
      </c>
      <c r="B33" s="6" t="s">
        <v>255</v>
      </c>
      <c r="C33" s="6" t="s">
        <v>135</v>
      </c>
      <c r="D33" s="10" t="s">
        <v>221</v>
      </c>
      <c r="E33" s="45"/>
      <c r="F33" s="45"/>
      <c r="G33" s="45"/>
      <c r="H33" s="45"/>
      <c r="I33" s="45"/>
      <c r="J33" s="45"/>
      <c r="K33" s="45"/>
      <c r="L33" s="45"/>
      <c r="M33" s="45"/>
      <c r="N33" s="45"/>
      <c r="O33" s="45"/>
      <c r="P33" s="46"/>
      <c r="Q33" s="46"/>
      <c r="R33" s="46"/>
      <c r="S33" s="46"/>
      <c r="T33" s="46"/>
      <c r="U33" s="46"/>
      <c r="V33" s="46"/>
      <c r="W33" s="46"/>
      <c r="X33" s="46"/>
      <c r="Y33" s="46"/>
      <c r="Z33" s="46"/>
    </row>
    <row r="34" ht="22.5" customHeight="1">
      <c r="A34" s="6" t="s">
        <v>138</v>
      </c>
      <c r="B34" s="6" t="s">
        <v>256</v>
      </c>
      <c r="C34" s="6" t="s">
        <v>139</v>
      </c>
      <c r="D34" s="45"/>
      <c r="E34" s="45"/>
      <c r="F34" s="45"/>
      <c r="G34" s="45"/>
      <c r="H34" s="45"/>
      <c r="I34" s="45"/>
      <c r="J34" s="45"/>
      <c r="K34" s="45"/>
      <c r="L34" s="45"/>
      <c r="M34" s="45"/>
      <c r="N34" s="45"/>
      <c r="O34" s="10"/>
      <c r="P34" s="46"/>
      <c r="Q34" s="46"/>
      <c r="R34" s="46"/>
      <c r="S34" s="46"/>
      <c r="T34" s="46"/>
      <c r="U34" s="46"/>
      <c r="V34" s="46"/>
      <c r="W34" s="46"/>
      <c r="X34" s="46"/>
      <c r="Y34" s="46"/>
      <c r="Z34" s="46"/>
    </row>
    <row r="35" ht="22.5" customHeight="1">
      <c r="A35" s="6" t="s">
        <v>140</v>
      </c>
      <c r="B35" s="6" t="s">
        <v>257</v>
      </c>
      <c r="C35" s="6" t="s">
        <v>141</v>
      </c>
      <c r="D35" s="45"/>
      <c r="E35" s="45"/>
      <c r="F35" s="45"/>
      <c r="G35" s="45"/>
      <c r="H35" s="45"/>
      <c r="I35" s="45"/>
      <c r="J35" s="45"/>
      <c r="K35" s="45"/>
      <c r="L35" s="45"/>
      <c r="M35" s="45"/>
      <c r="N35" s="45"/>
      <c r="O35" s="10"/>
      <c r="P35" s="46"/>
      <c r="Q35" s="46"/>
      <c r="R35" s="46"/>
      <c r="S35" s="46"/>
      <c r="T35" s="46"/>
      <c r="U35" s="46"/>
      <c r="V35" s="46"/>
      <c r="W35" s="46"/>
      <c r="X35" s="46"/>
      <c r="Y35" s="46"/>
      <c r="Z35" s="46"/>
    </row>
    <row r="36" ht="22.5" customHeight="1">
      <c r="A36" s="6" t="s">
        <v>136</v>
      </c>
      <c r="B36" s="6" t="s">
        <v>258</v>
      </c>
      <c r="C36" s="6" t="s">
        <v>137</v>
      </c>
      <c r="D36" s="10" t="s">
        <v>221</v>
      </c>
      <c r="E36" s="45"/>
      <c r="F36" s="45"/>
      <c r="G36" s="45"/>
      <c r="H36" s="45"/>
      <c r="I36" s="45"/>
      <c r="J36" s="45"/>
      <c r="K36" s="45"/>
      <c r="L36" s="45"/>
      <c r="M36" s="45"/>
      <c r="N36" s="45"/>
      <c r="O36" s="45"/>
      <c r="P36" s="46"/>
      <c r="Q36" s="46"/>
      <c r="R36" s="46"/>
      <c r="S36" s="46"/>
      <c r="T36" s="46"/>
      <c r="U36" s="46"/>
      <c r="V36" s="46"/>
      <c r="W36" s="46"/>
      <c r="X36" s="46"/>
      <c r="Y36" s="46"/>
      <c r="Z36" s="46"/>
    </row>
    <row r="37" ht="22.5" customHeight="1">
      <c r="A37" s="6" t="s">
        <v>148</v>
      </c>
      <c r="B37" s="6" t="s">
        <v>259</v>
      </c>
      <c r="C37" s="6" t="s">
        <v>149</v>
      </c>
      <c r="D37" s="10" t="s">
        <v>221</v>
      </c>
      <c r="E37" s="45"/>
      <c r="F37" s="45"/>
      <c r="G37" s="45"/>
      <c r="H37" s="45"/>
      <c r="I37" s="45"/>
      <c r="J37" s="45"/>
      <c r="K37" s="45"/>
      <c r="L37" s="45"/>
      <c r="M37" s="45"/>
      <c r="N37" s="45"/>
      <c r="O37" s="45"/>
      <c r="P37" s="46"/>
      <c r="Q37" s="46"/>
      <c r="R37" s="46"/>
      <c r="S37" s="46"/>
      <c r="T37" s="46"/>
      <c r="U37" s="46"/>
      <c r="V37" s="46"/>
      <c r="W37" s="46"/>
      <c r="X37" s="46"/>
      <c r="Y37" s="46"/>
      <c r="Z37" s="46"/>
    </row>
    <row r="38" ht="22.5" customHeight="1">
      <c r="A38" s="6" t="s">
        <v>142</v>
      </c>
      <c r="B38" s="6" t="s">
        <v>260</v>
      </c>
      <c r="C38" s="6" t="s">
        <v>143</v>
      </c>
      <c r="D38" s="45"/>
      <c r="E38" s="45"/>
      <c r="F38" s="45"/>
      <c r="G38" s="45"/>
      <c r="H38" s="45"/>
      <c r="I38" s="45"/>
      <c r="J38" s="45"/>
      <c r="K38" s="45"/>
      <c r="L38" s="45"/>
      <c r="M38" s="45"/>
      <c r="N38" s="45"/>
      <c r="O38" s="45"/>
      <c r="P38" s="46"/>
      <c r="Q38" s="46"/>
      <c r="R38" s="46"/>
      <c r="S38" s="46"/>
      <c r="T38" s="46"/>
      <c r="U38" s="46"/>
      <c r="V38" s="46"/>
      <c r="W38" s="46"/>
      <c r="X38" s="46"/>
      <c r="Y38" s="46"/>
      <c r="Z38" s="46"/>
    </row>
    <row r="39" ht="22.5" customHeight="1">
      <c r="A39" s="6" t="s">
        <v>144</v>
      </c>
      <c r="B39" s="6" t="s">
        <v>261</v>
      </c>
      <c r="C39" s="6" t="s">
        <v>145</v>
      </c>
      <c r="D39" s="45"/>
      <c r="E39" s="45"/>
      <c r="F39" s="45"/>
      <c r="G39" s="45"/>
      <c r="H39" s="45"/>
      <c r="I39" s="45"/>
      <c r="J39" s="45"/>
      <c r="K39" s="45"/>
      <c r="L39" s="45"/>
      <c r="M39" s="45"/>
      <c r="N39" s="45"/>
      <c r="O39" s="45"/>
      <c r="P39" s="46"/>
      <c r="Q39" s="46"/>
      <c r="R39" s="46"/>
      <c r="S39" s="46"/>
      <c r="T39" s="46"/>
      <c r="U39" s="46"/>
      <c r="V39" s="46"/>
      <c r="W39" s="46"/>
      <c r="X39" s="46"/>
      <c r="Y39" s="46"/>
      <c r="Z39" s="46"/>
    </row>
    <row r="40" ht="22.5" customHeight="1">
      <c r="A40" s="6" t="s">
        <v>150</v>
      </c>
      <c r="B40" s="6" t="s">
        <v>262</v>
      </c>
      <c r="C40" s="6" t="s">
        <v>151</v>
      </c>
      <c r="D40" s="45"/>
      <c r="E40" s="45"/>
      <c r="F40" s="45"/>
      <c r="G40" s="45"/>
      <c r="H40" s="45"/>
      <c r="I40" s="45"/>
      <c r="J40" s="45"/>
      <c r="K40" s="45"/>
      <c r="L40" s="45"/>
      <c r="M40" s="45"/>
      <c r="N40" s="45"/>
      <c r="O40" s="45"/>
      <c r="P40" s="46"/>
      <c r="Q40" s="46"/>
      <c r="R40" s="46"/>
      <c r="S40" s="46"/>
      <c r="T40" s="46"/>
      <c r="U40" s="46"/>
      <c r="V40" s="46"/>
      <c r="W40" s="46"/>
      <c r="X40" s="46"/>
      <c r="Y40" s="46"/>
      <c r="Z40" s="46"/>
    </row>
    <row r="41" ht="22.5" customHeight="1">
      <c r="A41" s="6" t="s">
        <v>152</v>
      </c>
      <c r="B41" s="6" t="s">
        <v>263</v>
      </c>
      <c r="C41" s="6" t="s">
        <v>153</v>
      </c>
      <c r="D41" s="45"/>
      <c r="E41" s="45"/>
      <c r="F41" s="45"/>
      <c r="G41" s="45"/>
      <c r="H41" s="45"/>
      <c r="I41" s="45"/>
      <c r="J41" s="45"/>
      <c r="K41" s="45"/>
      <c r="L41" s="45"/>
      <c r="M41" s="45"/>
      <c r="N41" s="45"/>
      <c r="O41" s="45"/>
      <c r="P41" s="46"/>
      <c r="Q41" s="46"/>
      <c r="R41" s="46"/>
      <c r="S41" s="46"/>
      <c r="T41" s="46"/>
      <c r="U41" s="46"/>
      <c r="V41" s="46"/>
      <c r="W41" s="46"/>
      <c r="X41" s="46"/>
      <c r="Y41" s="46"/>
      <c r="Z41" s="46"/>
    </row>
    <row r="42" ht="22.5" customHeight="1">
      <c r="A42" s="6" t="s">
        <v>146</v>
      </c>
      <c r="B42" s="6" t="s">
        <v>264</v>
      </c>
      <c r="C42" s="6" t="s">
        <v>147</v>
      </c>
      <c r="D42" s="45"/>
      <c r="E42" s="45"/>
      <c r="F42" s="45"/>
      <c r="G42" s="45"/>
      <c r="H42" s="45"/>
      <c r="I42" s="45"/>
      <c r="J42" s="45"/>
      <c r="K42" s="45"/>
      <c r="L42" s="45"/>
      <c r="M42" s="45"/>
      <c r="N42" s="45"/>
      <c r="O42" s="45"/>
      <c r="P42" s="46"/>
      <c r="Q42" s="46"/>
      <c r="R42" s="46"/>
      <c r="S42" s="46"/>
      <c r="T42" s="46"/>
      <c r="U42" s="46"/>
      <c r="V42" s="46"/>
      <c r="W42" s="46"/>
      <c r="X42" s="46"/>
      <c r="Y42" s="46"/>
      <c r="Z42" s="46"/>
    </row>
    <row r="43" ht="22.5" customHeight="1">
      <c r="A43" s="6" t="s">
        <v>154</v>
      </c>
      <c r="B43" s="6" t="s">
        <v>265</v>
      </c>
      <c r="C43" s="6" t="s">
        <v>155</v>
      </c>
      <c r="D43" s="45"/>
      <c r="E43" s="45"/>
      <c r="F43" s="45"/>
      <c r="G43" s="45"/>
      <c r="H43" s="45"/>
      <c r="I43" s="45"/>
      <c r="J43" s="45"/>
      <c r="K43" s="45"/>
      <c r="L43" s="45"/>
      <c r="M43" s="45"/>
      <c r="N43" s="45"/>
      <c r="O43" s="45"/>
      <c r="P43" s="46"/>
      <c r="Q43" s="46"/>
      <c r="R43" s="46"/>
      <c r="S43" s="46"/>
      <c r="T43" s="46"/>
      <c r="U43" s="46"/>
      <c r="V43" s="46"/>
      <c r="W43" s="46"/>
      <c r="X43" s="46"/>
      <c r="Y43" s="46"/>
      <c r="Z43" s="46"/>
    </row>
    <row r="44" ht="22.5" customHeight="1">
      <c r="A44" s="6"/>
      <c r="B44" s="6"/>
      <c r="C44" s="6"/>
      <c r="D44" s="45"/>
      <c r="E44" s="45"/>
      <c r="F44" s="45"/>
      <c r="G44" s="45"/>
      <c r="H44" s="45"/>
      <c r="I44" s="45"/>
      <c r="J44" s="45"/>
      <c r="K44" s="45"/>
      <c r="L44" s="45"/>
      <c r="M44" s="45"/>
      <c r="N44" s="45"/>
      <c r="O44" s="45"/>
      <c r="P44" s="46"/>
      <c r="Q44" s="46"/>
      <c r="R44" s="46"/>
      <c r="S44" s="46"/>
      <c r="T44" s="46"/>
      <c r="U44" s="46"/>
      <c r="V44" s="46"/>
      <c r="W44" s="46"/>
      <c r="X44" s="46"/>
      <c r="Y44" s="46"/>
      <c r="Z44" s="46"/>
    </row>
    <row r="45" ht="22.5" customHeight="1">
      <c r="A45" s="6"/>
      <c r="B45" s="6"/>
      <c r="C45" s="6"/>
      <c r="D45" s="45"/>
      <c r="E45" s="45"/>
      <c r="F45" s="45"/>
      <c r="G45" s="45"/>
      <c r="H45" s="45"/>
      <c r="I45" s="45"/>
      <c r="J45" s="45"/>
      <c r="K45" s="45"/>
      <c r="L45" s="45"/>
      <c r="M45" s="45"/>
      <c r="N45" s="45"/>
      <c r="O45" s="45"/>
      <c r="P45" s="46"/>
      <c r="Q45" s="46"/>
      <c r="R45" s="46"/>
      <c r="S45" s="46"/>
      <c r="T45" s="46"/>
      <c r="U45" s="46"/>
      <c r="V45" s="46"/>
      <c r="W45" s="46"/>
      <c r="X45" s="46"/>
      <c r="Y45" s="46"/>
      <c r="Z45" s="46"/>
    </row>
    <row r="46" ht="22.5" customHeight="1">
      <c r="A46" s="6"/>
      <c r="B46" s="6"/>
      <c r="C46" s="6"/>
      <c r="D46" s="45"/>
      <c r="E46" s="45"/>
      <c r="F46" s="45"/>
      <c r="G46" s="45"/>
      <c r="H46" s="45"/>
      <c r="I46" s="45"/>
      <c r="J46" s="45"/>
      <c r="K46" s="45"/>
      <c r="L46" s="45"/>
      <c r="M46" s="45"/>
      <c r="N46" s="45"/>
      <c r="O46" s="45"/>
      <c r="P46" s="46"/>
      <c r="Q46" s="46"/>
      <c r="R46" s="46"/>
      <c r="S46" s="46"/>
      <c r="T46" s="46"/>
      <c r="U46" s="46"/>
      <c r="V46" s="46"/>
      <c r="W46" s="46"/>
      <c r="X46" s="46"/>
      <c r="Y46" s="46"/>
      <c r="Z46" s="46"/>
    </row>
    <row r="47">
      <c r="A47" s="46"/>
      <c r="B47" s="46"/>
      <c r="C47" s="46"/>
      <c r="D47" s="47"/>
      <c r="E47" s="47"/>
      <c r="F47" s="47"/>
      <c r="G47" s="47"/>
      <c r="H47" s="47"/>
      <c r="I47" s="47"/>
      <c r="J47" s="47"/>
      <c r="K47" s="47"/>
      <c r="L47" s="47"/>
      <c r="M47" s="47"/>
      <c r="N47" s="47"/>
      <c r="O47" s="47"/>
      <c r="P47" s="46"/>
      <c r="Q47" s="46"/>
      <c r="R47" s="46"/>
      <c r="S47" s="46"/>
      <c r="T47" s="46"/>
      <c r="U47" s="46"/>
      <c r="V47" s="46"/>
      <c r="W47" s="46"/>
      <c r="X47" s="46"/>
      <c r="Y47" s="46"/>
      <c r="Z47" s="46"/>
    </row>
    <row r="48">
      <c r="A48" s="46"/>
      <c r="B48" s="46"/>
      <c r="C48" s="46"/>
      <c r="D48" s="47"/>
      <c r="E48" s="47"/>
      <c r="F48" s="47"/>
      <c r="G48" s="47"/>
      <c r="H48" s="47"/>
      <c r="I48" s="47"/>
      <c r="J48" s="47"/>
      <c r="K48" s="47"/>
      <c r="L48" s="47"/>
      <c r="M48" s="47"/>
      <c r="N48" s="47"/>
      <c r="O48" s="47"/>
      <c r="P48" s="46"/>
      <c r="Q48" s="46"/>
      <c r="R48" s="46"/>
      <c r="S48" s="46"/>
      <c r="T48" s="46"/>
      <c r="U48" s="46"/>
      <c r="V48" s="46"/>
      <c r="W48" s="46"/>
      <c r="X48" s="46"/>
      <c r="Y48" s="46"/>
      <c r="Z48" s="46"/>
    </row>
    <row r="49">
      <c r="A49" s="46"/>
      <c r="B49" s="46"/>
      <c r="C49" s="46"/>
      <c r="D49" s="47"/>
      <c r="E49" s="47"/>
      <c r="F49" s="47"/>
      <c r="G49" s="47"/>
      <c r="H49" s="47"/>
      <c r="I49" s="47"/>
      <c r="J49" s="47"/>
      <c r="K49" s="47"/>
      <c r="L49" s="47"/>
      <c r="M49" s="47"/>
      <c r="N49" s="47"/>
      <c r="O49" s="47"/>
      <c r="P49" s="46"/>
      <c r="Q49" s="46"/>
      <c r="R49" s="46"/>
      <c r="S49" s="46"/>
      <c r="T49" s="46"/>
      <c r="U49" s="46"/>
      <c r="V49" s="46"/>
      <c r="W49" s="46"/>
      <c r="X49" s="46"/>
      <c r="Y49" s="46"/>
      <c r="Z49" s="46"/>
    </row>
    <row r="50">
      <c r="A50" s="46"/>
      <c r="B50" s="46"/>
      <c r="C50" s="46"/>
      <c r="D50" s="47"/>
      <c r="E50" s="47"/>
      <c r="F50" s="47"/>
      <c r="G50" s="47"/>
      <c r="H50" s="47"/>
      <c r="I50" s="47"/>
      <c r="J50" s="47"/>
      <c r="K50" s="47"/>
      <c r="L50" s="47"/>
      <c r="M50" s="47"/>
      <c r="N50" s="47"/>
      <c r="O50" s="47"/>
      <c r="P50" s="46"/>
      <c r="Q50" s="46"/>
      <c r="R50" s="46"/>
      <c r="S50" s="46"/>
      <c r="T50" s="46"/>
      <c r="U50" s="46"/>
      <c r="V50" s="46"/>
      <c r="W50" s="46"/>
      <c r="X50" s="46"/>
      <c r="Y50" s="46"/>
      <c r="Z50" s="46"/>
    </row>
  </sheetData>
  <mergeCells count="2">
    <mergeCell ref="A1:C1"/>
    <mergeCell ref="D1:O1"/>
  </mergeCells>
  <dataValidations>
    <dataValidation type="list" allowBlank="1" showErrorMessage="1" sqref="D4:O46">
      <formula1>"Paid,Unpaid"</formula1>
    </dataValidation>
    <dataValidation type="list" allowBlank="1" showErrorMessage="1" sqref="D1">
      <formula1>"2025,2026,2027,2028,2029"</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13"/>
    <col customWidth="1" min="2" max="2" width="14.25"/>
    <col customWidth="1" min="3" max="3" width="19.63"/>
    <col customWidth="1" min="4" max="4" width="18.75"/>
    <col customWidth="1" min="5" max="5" width="36.13"/>
    <col customWidth="1" min="6" max="6" width="23.38"/>
    <col customWidth="1" min="7" max="7" width="22.63"/>
    <col customWidth="1" min="8" max="8" width="22.38"/>
    <col customWidth="1" min="9" max="9" width="16.25"/>
    <col customWidth="1" min="10" max="10" width="40.88"/>
    <col customWidth="1" min="11" max="11" width="22.63"/>
  </cols>
  <sheetData>
    <row r="1" ht="22.5" customHeight="1">
      <c r="A1" s="1" t="s">
        <v>266</v>
      </c>
      <c r="B1" s="1" t="s">
        <v>39</v>
      </c>
      <c r="C1" s="1" t="s">
        <v>267</v>
      </c>
      <c r="D1" s="48" t="s">
        <v>268</v>
      </c>
      <c r="E1" s="1" t="s">
        <v>43</v>
      </c>
      <c r="F1" s="1" t="s">
        <v>269</v>
      </c>
      <c r="G1" s="1" t="s">
        <v>270</v>
      </c>
      <c r="H1" s="1" t="s">
        <v>271</v>
      </c>
      <c r="I1" s="1" t="s">
        <v>272</v>
      </c>
      <c r="J1" s="1" t="s">
        <v>273</v>
      </c>
    </row>
    <row r="2" ht="22.5" customHeight="1">
      <c r="A2" s="10" t="s">
        <v>116</v>
      </c>
      <c r="B2" s="10" t="s">
        <v>274</v>
      </c>
      <c r="C2" s="11" t="s">
        <v>275</v>
      </c>
      <c r="D2" s="49" t="s">
        <v>276</v>
      </c>
      <c r="E2" s="11" t="s">
        <v>277</v>
      </c>
      <c r="F2" s="11" t="s">
        <v>278</v>
      </c>
      <c r="G2" s="50" t="s">
        <v>279</v>
      </c>
      <c r="H2" s="10" t="s">
        <v>55</v>
      </c>
      <c r="I2" s="10" t="s">
        <v>280</v>
      </c>
      <c r="J2" s="51" t="s">
        <v>281</v>
      </c>
    </row>
    <row r="3" ht="22.5" customHeight="1">
      <c r="A3" s="10" t="s">
        <v>103</v>
      </c>
      <c r="B3" s="10" t="s">
        <v>274</v>
      </c>
      <c r="C3" s="11" t="s">
        <v>282</v>
      </c>
      <c r="D3" s="49" t="s">
        <v>283</v>
      </c>
      <c r="E3" s="11" t="s">
        <v>284</v>
      </c>
      <c r="F3" s="11" t="s">
        <v>285</v>
      </c>
      <c r="G3" s="50" t="s">
        <v>286</v>
      </c>
      <c r="H3" s="10" t="s">
        <v>55</v>
      </c>
      <c r="I3" s="10" t="s">
        <v>280</v>
      </c>
      <c r="J3" s="51" t="s">
        <v>275</v>
      </c>
    </row>
    <row r="4" ht="22.5" customHeight="1">
      <c r="A4" s="10" t="s">
        <v>103</v>
      </c>
      <c r="B4" s="10" t="s">
        <v>274</v>
      </c>
      <c r="C4" s="11" t="s">
        <v>287</v>
      </c>
      <c r="D4" s="49" t="s">
        <v>288</v>
      </c>
      <c r="E4" s="11" t="s">
        <v>289</v>
      </c>
      <c r="F4" s="11" t="s">
        <v>290</v>
      </c>
      <c r="G4" s="50" t="s">
        <v>291</v>
      </c>
      <c r="H4" s="10" t="s">
        <v>55</v>
      </c>
      <c r="I4" s="10" t="s">
        <v>280</v>
      </c>
      <c r="J4" s="51" t="s">
        <v>282</v>
      </c>
    </row>
    <row r="5" ht="22.5" customHeight="1">
      <c r="A5" s="10" t="s">
        <v>104</v>
      </c>
      <c r="B5" s="10" t="s">
        <v>274</v>
      </c>
      <c r="C5" s="11" t="s">
        <v>292</v>
      </c>
      <c r="D5" s="49" t="s">
        <v>293</v>
      </c>
      <c r="E5" s="11" t="s">
        <v>294</v>
      </c>
      <c r="F5" s="11" t="s">
        <v>295</v>
      </c>
      <c r="G5" s="50" t="s">
        <v>296</v>
      </c>
      <c r="H5" s="10" t="s">
        <v>55</v>
      </c>
      <c r="I5" s="10" t="s">
        <v>297</v>
      </c>
      <c r="J5" s="51" t="s">
        <v>298</v>
      </c>
    </row>
    <row r="6" ht="22.5" customHeight="1">
      <c r="A6" s="10" t="s">
        <v>105</v>
      </c>
      <c r="B6" s="10" t="s">
        <v>274</v>
      </c>
      <c r="C6" s="11" t="s">
        <v>299</v>
      </c>
      <c r="D6" s="49" t="s">
        <v>300</v>
      </c>
      <c r="E6" s="11" t="s">
        <v>301</v>
      </c>
      <c r="F6" s="11" t="s">
        <v>302</v>
      </c>
      <c r="G6" s="50" t="s">
        <v>303</v>
      </c>
      <c r="H6" s="10" t="s">
        <v>55</v>
      </c>
      <c r="I6" s="10" t="s">
        <v>297</v>
      </c>
      <c r="J6" s="51" t="s">
        <v>304</v>
      </c>
    </row>
    <row r="7" ht="22.5" customHeight="1">
      <c r="A7" s="10" t="s">
        <v>105</v>
      </c>
      <c r="B7" s="10" t="s">
        <v>274</v>
      </c>
      <c r="C7" s="11" t="s">
        <v>305</v>
      </c>
      <c r="D7" s="49" t="s">
        <v>306</v>
      </c>
      <c r="E7" s="11" t="s">
        <v>307</v>
      </c>
      <c r="F7" s="11" t="s">
        <v>308</v>
      </c>
      <c r="G7" s="50" t="s">
        <v>309</v>
      </c>
      <c r="H7" s="10" t="s">
        <v>55</v>
      </c>
      <c r="I7" s="10" t="s">
        <v>297</v>
      </c>
      <c r="J7" s="51" t="s">
        <v>310</v>
      </c>
    </row>
    <row r="8" ht="22.5" customHeight="1">
      <c r="A8" s="10" t="s">
        <v>100</v>
      </c>
      <c r="B8" s="10" t="s">
        <v>274</v>
      </c>
      <c r="C8" s="11" t="s">
        <v>311</v>
      </c>
      <c r="D8" s="49" t="s">
        <v>312</v>
      </c>
      <c r="E8" s="11" t="s">
        <v>313</v>
      </c>
      <c r="F8" s="11" t="s">
        <v>314</v>
      </c>
      <c r="G8" s="50" t="s">
        <v>315</v>
      </c>
      <c r="H8" s="10" t="s">
        <v>55</v>
      </c>
      <c r="I8" s="10" t="s">
        <v>316</v>
      </c>
      <c r="J8" s="51" t="s">
        <v>317</v>
      </c>
    </row>
    <row r="9" ht="22.5" customHeight="1">
      <c r="A9" s="10" t="s">
        <v>100</v>
      </c>
      <c r="B9" s="10" t="s">
        <v>274</v>
      </c>
      <c r="C9" s="11" t="s">
        <v>318</v>
      </c>
      <c r="D9" s="49" t="s">
        <v>319</v>
      </c>
      <c r="E9" s="11" t="s">
        <v>320</v>
      </c>
      <c r="F9" s="11" t="s">
        <v>321</v>
      </c>
      <c r="G9" s="50" t="s">
        <v>322</v>
      </c>
      <c r="H9" s="10" t="s">
        <v>55</v>
      </c>
      <c r="I9" s="10" t="s">
        <v>316</v>
      </c>
      <c r="J9" s="51" t="s">
        <v>311</v>
      </c>
    </row>
    <row r="10" ht="22.5" customHeight="1">
      <c r="A10" s="10" t="s">
        <v>101</v>
      </c>
      <c r="B10" s="10" t="s">
        <v>274</v>
      </c>
      <c r="C10" s="11" t="s">
        <v>323</v>
      </c>
      <c r="D10" s="49" t="s">
        <v>324</v>
      </c>
      <c r="E10" s="11" t="s">
        <v>325</v>
      </c>
      <c r="F10" s="11" t="s">
        <v>326</v>
      </c>
      <c r="G10" s="50" t="s">
        <v>327</v>
      </c>
      <c r="H10" s="10" t="s">
        <v>55</v>
      </c>
      <c r="I10" s="10" t="s">
        <v>316</v>
      </c>
      <c r="J10" s="51" t="s">
        <v>328</v>
      </c>
    </row>
    <row r="11" ht="22.5" customHeight="1">
      <c r="A11" s="10" t="s">
        <v>101</v>
      </c>
      <c r="B11" s="10" t="s">
        <v>274</v>
      </c>
      <c r="C11" s="11" t="s">
        <v>329</v>
      </c>
      <c r="D11" s="49" t="s">
        <v>330</v>
      </c>
      <c r="E11" s="11" t="s">
        <v>331</v>
      </c>
      <c r="F11" s="11" t="s">
        <v>332</v>
      </c>
      <c r="G11" s="50" t="s">
        <v>333</v>
      </c>
      <c r="H11" s="10" t="s">
        <v>55</v>
      </c>
      <c r="I11" s="10" t="s">
        <v>334</v>
      </c>
      <c r="J11" s="51"/>
    </row>
    <row r="12" ht="22.5" customHeight="1">
      <c r="A12" s="10" t="s">
        <v>101</v>
      </c>
      <c r="B12" s="10" t="s">
        <v>274</v>
      </c>
      <c r="C12" s="11" t="s">
        <v>335</v>
      </c>
      <c r="D12" s="49" t="s">
        <v>336</v>
      </c>
      <c r="E12" s="11" t="s">
        <v>337</v>
      </c>
      <c r="F12" s="11" t="s">
        <v>338</v>
      </c>
      <c r="G12" s="50" t="s">
        <v>339</v>
      </c>
      <c r="H12" s="10" t="s">
        <v>55</v>
      </c>
      <c r="I12" s="10" t="s">
        <v>334</v>
      </c>
      <c r="J12" s="51"/>
    </row>
    <row r="13" ht="22.5" customHeight="1">
      <c r="A13" s="10" t="s">
        <v>340</v>
      </c>
      <c r="B13" s="10" t="s">
        <v>274</v>
      </c>
      <c r="C13" s="11" t="s">
        <v>341</v>
      </c>
      <c r="D13" s="49" t="s">
        <v>342</v>
      </c>
      <c r="E13" s="11" t="s">
        <v>343</v>
      </c>
      <c r="F13" s="11" t="s">
        <v>344</v>
      </c>
      <c r="G13" s="50" t="s">
        <v>345</v>
      </c>
      <c r="H13" s="10" t="s">
        <v>55</v>
      </c>
      <c r="I13" s="10" t="s">
        <v>334</v>
      </c>
      <c r="J13" s="51"/>
    </row>
    <row r="14" ht="22.5" customHeight="1">
      <c r="A14" s="10" t="s">
        <v>340</v>
      </c>
      <c r="B14" s="10" t="s">
        <v>274</v>
      </c>
      <c r="C14" s="11" t="s">
        <v>346</v>
      </c>
      <c r="D14" s="49" t="s">
        <v>347</v>
      </c>
      <c r="E14" s="11" t="s">
        <v>348</v>
      </c>
      <c r="F14" s="11" t="s">
        <v>349</v>
      </c>
      <c r="G14" s="50" t="s">
        <v>350</v>
      </c>
      <c r="H14" s="10" t="s">
        <v>55</v>
      </c>
      <c r="I14" s="10" t="s">
        <v>334</v>
      </c>
      <c r="J14" s="51"/>
    </row>
    <row r="15" ht="22.5" customHeight="1">
      <c r="A15" s="10" t="s">
        <v>340</v>
      </c>
      <c r="B15" s="10" t="s">
        <v>274</v>
      </c>
      <c r="C15" s="11" t="s">
        <v>351</v>
      </c>
      <c r="D15" s="49" t="s">
        <v>352</v>
      </c>
      <c r="E15" s="11" t="s">
        <v>353</v>
      </c>
      <c r="F15" s="11" t="s">
        <v>354</v>
      </c>
      <c r="G15" s="50" t="s">
        <v>355</v>
      </c>
      <c r="H15" s="10" t="s">
        <v>55</v>
      </c>
      <c r="I15" s="10" t="s">
        <v>334</v>
      </c>
      <c r="J15" s="51"/>
    </row>
    <row r="16" ht="22.5" customHeight="1">
      <c r="A16" s="10" t="s">
        <v>340</v>
      </c>
      <c r="B16" s="10" t="s">
        <v>274</v>
      </c>
      <c r="C16" s="11" t="s">
        <v>356</v>
      </c>
      <c r="D16" s="49" t="s">
        <v>357</v>
      </c>
      <c r="E16" s="11" t="s">
        <v>358</v>
      </c>
      <c r="F16" s="11" t="s">
        <v>359</v>
      </c>
      <c r="G16" s="50" t="s">
        <v>360</v>
      </c>
      <c r="H16" s="10" t="s">
        <v>361</v>
      </c>
      <c r="I16" s="10" t="s">
        <v>362</v>
      </c>
      <c r="J16" s="51"/>
    </row>
    <row r="17" ht="22.5" customHeight="1">
      <c r="A17" s="10" t="s">
        <v>363</v>
      </c>
      <c r="B17" s="10" t="s">
        <v>274</v>
      </c>
      <c r="C17" s="11" t="s">
        <v>364</v>
      </c>
      <c r="D17" s="49" t="s">
        <v>365</v>
      </c>
      <c r="E17" s="11" t="s">
        <v>366</v>
      </c>
      <c r="F17" s="11" t="s">
        <v>367</v>
      </c>
      <c r="G17" s="50" t="s">
        <v>368</v>
      </c>
      <c r="H17" s="10" t="s">
        <v>361</v>
      </c>
      <c r="I17" s="10" t="s">
        <v>362</v>
      </c>
      <c r="J17" s="51"/>
    </row>
    <row r="18" ht="22.5" customHeight="1">
      <c r="A18" s="10" t="s">
        <v>363</v>
      </c>
      <c r="B18" s="10" t="s">
        <v>274</v>
      </c>
      <c r="C18" s="11" t="s">
        <v>369</v>
      </c>
      <c r="D18" s="49" t="s">
        <v>370</v>
      </c>
      <c r="E18" s="11" t="s">
        <v>371</v>
      </c>
      <c r="F18" s="11" t="s">
        <v>372</v>
      </c>
      <c r="G18" s="50" t="s">
        <v>373</v>
      </c>
      <c r="H18" s="10" t="s">
        <v>361</v>
      </c>
      <c r="I18" s="10" t="s">
        <v>362</v>
      </c>
      <c r="J18" s="51"/>
    </row>
    <row r="19" ht="22.5" customHeight="1">
      <c r="A19" s="10" t="s">
        <v>363</v>
      </c>
      <c r="B19" s="10" t="s">
        <v>274</v>
      </c>
      <c r="C19" s="11" t="s">
        <v>374</v>
      </c>
      <c r="D19" s="49" t="s">
        <v>375</v>
      </c>
      <c r="E19" s="11" t="s">
        <v>376</v>
      </c>
      <c r="F19" s="11" t="s">
        <v>377</v>
      </c>
      <c r="G19" s="50" t="s">
        <v>378</v>
      </c>
      <c r="H19" s="10" t="s">
        <v>361</v>
      </c>
      <c r="I19" s="10" t="s">
        <v>362</v>
      </c>
      <c r="J19" s="51"/>
    </row>
    <row r="20" ht="22.5" customHeight="1">
      <c r="A20" s="10" t="s">
        <v>363</v>
      </c>
      <c r="B20" s="10" t="s">
        <v>274</v>
      </c>
      <c r="C20" s="11" t="s">
        <v>379</v>
      </c>
      <c r="D20" s="49" t="s">
        <v>380</v>
      </c>
      <c r="E20" s="11" t="s">
        <v>381</v>
      </c>
      <c r="F20" s="11" t="s">
        <v>382</v>
      </c>
      <c r="G20" s="50" t="s">
        <v>383</v>
      </c>
      <c r="H20" s="10" t="s">
        <v>361</v>
      </c>
      <c r="I20" s="10" t="s">
        <v>362</v>
      </c>
      <c r="J20" s="51"/>
    </row>
    <row r="21" ht="22.5" customHeight="1">
      <c r="A21" s="10" t="s">
        <v>116</v>
      </c>
      <c r="B21" s="10" t="s">
        <v>384</v>
      </c>
      <c r="C21" s="11" t="s">
        <v>281</v>
      </c>
      <c r="D21" s="49" t="s">
        <v>385</v>
      </c>
      <c r="E21" s="11" t="s">
        <v>386</v>
      </c>
      <c r="F21" s="11" t="s">
        <v>387</v>
      </c>
      <c r="G21" s="7"/>
      <c r="H21" s="10" t="s">
        <v>388</v>
      </c>
      <c r="I21" s="10" t="s">
        <v>280</v>
      </c>
      <c r="J21" s="51"/>
    </row>
    <row r="22" ht="22.5" customHeight="1">
      <c r="A22" s="10" t="s">
        <v>116</v>
      </c>
      <c r="B22" s="10" t="s">
        <v>384</v>
      </c>
      <c r="C22" s="11" t="s">
        <v>389</v>
      </c>
      <c r="D22" s="49" t="s">
        <v>390</v>
      </c>
      <c r="E22" s="11" t="s">
        <v>391</v>
      </c>
      <c r="F22" s="11" t="s">
        <v>392</v>
      </c>
      <c r="G22" s="7"/>
      <c r="H22" s="10" t="s">
        <v>388</v>
      </c>
      <c r="I22" s="10" t="s">
        <v>280</v>
      </c>
      <c r="J22" s="51"/>
    </row>
    <row r="23" ht="22.5" customHeight="1">
      <c r="A23" s="10" t="s">
        <v>116</v>
      </c>
      <c r="B23" s="10" t="s">
        <v>384</v>
      </c>
      <c r="C23" s="11" t="s">
        <v>393</v>
      </c>
      <c r="D23" s="49" t="s">
        <v>394</v>
      </c>
      <c r="E23" s="11" t="s">
        <v>395</v>
      </c>
      <c r="F23" s="11" t="s">
        <v>396</v>
      </c>
      <c r="H23" s="10" t="s">
        <v>388</v>
      </c>
      <c r="I23" s="10" t="s">
        <v>280</v>
      </c>
      <c r="J23" s="51"/>
    </row>
    <row r="24" ht="22.5" customHeight="1">
      <c r="A24" s="10" t="s">
        <v>103</v>
      </c>
      <c r="B24" s="10" t="s">
        <v>384</v>
      </c>
      <c r="C24" s="11" t="s">
        <v>397</v>
      </c>
      <c r="D24" s="49" t="s">
        <v>398</v>
      </c>
      <c r="E24" s="11" t="s">
        <v>399</v>
      </c>
      <c r="F24" s="11" t="s">
        <v>400</v>
      </c>
      <c r="H24" s="10" t="s">
        <v>388</v>
      </c>
      <c r="I24" s="10" t="s">
        <v>280</v>
      </c>
      <c r="J24" s="51"/>
    </row>
    <row r="25" ht="22.5" customHeight="1">
      <c r="A25" s="10" t="s">
        <v>103</v>
      </c>
      <c r="B25" s="10" t="s">
        <v>384</v>
      </c>
      <c r="C25" s="11" t="s">
        <v>401</v>
      </c>
      <c r="D25" s="49" t="s">
        <v>402</v>
      </c>
      <c r="E25" s="11" t="s">
        <v>403</v>
      </c>
      <c r="F25" s="11" t="s">
        <v>404</v>
      </c>
      <c r="G25" s="7"/>
      <c r="H25" s="10" t="s">
        <v>388</v>
      </c>
      <c r="I25" s="10" t="s">
        <v>280</v>
      </c>
      <c r="J25" s="51"/>
    </row>
    <row r="26" ht="22.5" customHeight="1">
      <c r="A26" s="10" t="s">
        <v>103</v>
      </c>
      <c r="B26" s="10" t="s">
        <v>384</v>
      </c>
      <c r="C26" s="11" t="s">
        <v>405</v>
      </c>
      <c r="D26" s="49" t="s">
        <v>406</v>
      </c>
      <c r="E26" s="11" t="s">
        <v>407</v>
      </c>
      <c r="F26" s="11" t="s">
        <v>408</v>
      </c>
      <c r="H26" s="10" t="s">
        <v>409</v>
      </c>
      <c r="I26" s="10" t="s">
        <v>297</v>
      </c>
      <c r="J26" s="51" t="s">
        <v>281</v>
      </c>
    </row>
    <row r="27" ht="22.5" customHeight="1">
      <c r="A27" s="10" t="s">
        <v>103</v>
      </c>
      <c r="B27" s="10" t="s">
        <v>384</v>
      </c>
      <c r="C27" s="11" t="s">
        <v>410</v>
      </c>
      <c r="D27" s="49" t="s">
        <v>411</v>
      </c>
      <c r="E27" s="11" t="s">
        <v>412</v>
      </c>
      <c r="F27" s="11" t="s">
        <v>413</v>
      </c>
      <c r="H27" s="10" t="s">
        <v>409</v>
      </c>
      <c r="I27" s="10" t="s">
        <v>297</v>
      </c>
      <c r="J27" s="51" t="s">
        <v>393</v>
      </c>
    </row>
    <row r="28" ht="22.5" customHeight="1">
      <c r="A28" s="10" t="s">
        <v>103</v>
      </c>
      <c r="B28" s="10" t="s">
        <v>384</v>
      </c>
      <c r="C28" s="11" t="s">
        <v>414</v>
      </c>
      <c r="D28" s="49" t="s">
        <v>415</v>
      </c>
      <c r="E28" s="11" t="s">
        <v>416</v>
      </c>
      <c r="F28" s="11" t="s">
        <v>417</v>
      </c>
      <c r="H28" s="10" t="s">
        <v>409</v>
      </c>
      <c r="I28" s="10" t="s">
        <v>297</v>
      </c>
      <c r="J28" s="51" t="s">
        <v>410</v>
      </c>
    </row>
    <row r="29" ht="22.5" customHeight="1">
      <c r="A29" s="10" t="s">
        <v>104</v>
      </c>
      <c r="B29" s="10" t="s">
        <v>384</v>
      </c>
      <c r="C29" s="11" t="s">
        <v>418</v>
      </c>
      <c r="D29" s="49" t="s">
        <v>419</v>
      </c>
      <c r="E29" s="11" t="s">
        <v>420</v>
      </c>
      <c r="F29" s="11" t="s">
        <v>421</v>
      </c>
      <c r="H29" s="10" t="s">
        <v>388</v>
      </c>
      <c r="I29" s="10" t="s">
        <v>280</v>
      </c>
      <c r="J29" s="51"/>
    </row>
    <row r="30" ht="22.5" customHeight="1">
      <c r="A30" s="10" t="s">
        <v>104</v>
      </c>
      <c r="B30" s="10" t="s">
        <v>384</v>
      </c>
      <c r="C30" s="11" t="s">
        <v>422</v>
      </c>
      <c r="D30" s="49" t="s">
        <v>390</v>
      </c>
      <c r="E30" s="11" t="s">
        <v>423</v>
      </c>
      <c r="F30" s="11" t="s">
        <v>424</v>
      </c>
      <c r="G30" s="7"/>
      <c r="H30" s="10" t="s">
        <v>388</v>
      </c>
      <c r="I30" s="10" t="s">
        <v>297</v>
      </c>
      <c r="J30" s="51"/>
    </row>
    <row r="31" ht="22.5" customHeight="1">
      <c r="A31" s="10" t="s">
        <v>104</v>
      </c>
      <c r="B31" s="10" t="s">
        <v>384</v>
      </c>
      <c r="C31" s="11" t="s">
        <v>425</v>
      </c>
      <c r="D31" s="49" t="s">
        <v>426</v>
      </c>
      <c r="E31" s="11" t="s">
        <v>427</v>
      </c>
      <c r="F31" s="11" t="s">
        <v>428</v>
      </c>
      <c r="G31" s="50" t="s">
        <v>429</v>
      </c>
      <c r="H31" s="10" t="s">
        <v>388</v>
      </c>
      <c r="I31" s="10" t="s">
        <v>280</v>
      </c>
      <c r="J31" s="51"/>
    </row>
    <row r="32" ht="22.5" customHeight="1">
      <c r="A32" s="10" t="s">
        <v>104</v>
      </c>
      <c r="B32" s="10" t="s">
        <v>384</v>
      </c>
      <c r="C32" s="11" t="s">
        <v>430</v>
      </c>
      <c r="D32" s="49" t="s">
        <v>431</v>
      </c>
      <c r="E32" s="11" t="s">
        <v>432</v>
      </c>
      <c r="F32" s="11" t="s">
        <v>433</v>
      </c>
      <c r="H32" s="10" t="s">
        <v>409</v>
      </c>
      <c r="I32" s="10" t="s">
        <v>297</v>
      </c>
      <c r="J32" s="51" t="s">
        <v>418</v>
      </c>
    </row>
    <row r="33" ht="22.5" customHeight="1">
      <c r="A33" s="10" t="s">
        <v>105</v>
      </c>
      <c r="B33" s="10" t="s">
        <v>384</v>
      </c>
      <c r="C33" s="11" t="s">
        <v>434</v>
      </c>
      <c r="D33" s="49" t="s">
        <v>435</v>
      </c>
      <c r="E33" s="11" t="s">
        <v>436</v>
      </c>
      <c r="F33" s="11" t="s">
        <v>437</v>
      </c>
      <c r="G33" s="7"/>
      <c r="H33" s="10" t="s">
        <v>388</v>
      </c>
      <c r="I33" s="10" t="s">
        <v>297</v>
      </c>
      <c r="J33" s="51" t="s">
        <v>438</v>
      </c>
    </row>
    <row r="34" ht="22.5" customHeight="1">
      <c r="A34" s="10" t="s">
        <v>105</v>
      </c>
      <c r="B34" s="10" t="s">
        <v>384</v>
      </c>
      <c r="C34" s="11" t="s">
        <v>439</v>
      </c>
      <c r="D34" s="49" t="s">
        <v>440</v>
      </c>
      <c r="E34" s="11" t="s">
        <v>441</v>
      </c>
      <c r="F34" s="11" t="s">
        <v>442</v>
      </c>
      <c r="G34" s="7"/>
      <c r="H34" s="10" t="s">
        <v>388</v>
      </c>
      <c r="I34" s="10" t="s">
        <v>297</v>
      </c>
      <c r="J34" s="51" t="s">
        <v>393</v>
      </c>
    </row>
    <row r="35" ht="22.5" customHeight="1">
      <c r="A35" s="10" t="s">
        <v>105</v>
      </c>
      <c r="B35" s="10" t="s">
        <v>384</v>
      </c>
      <c r="C35" s="11" t="s">
        <v>443</v>
      </c>
      <c r="D35" s="49" t="s">
        <v>444</v>
      </c>
      <c r="E35" s="11" t="s">
        <v>445</v>
      </c>
      <c r="F35" s="11" t="s">
        <v>446</v>
      </c>
      <c r="H35" s="10" t="s">
        <v>409</v>
      </c>
      <c r="I35" s="10" t="s">
        <v>316</v>
      </c>
      <c r="J35" s="51" t="s">
        <v>425</v>
      </c>
    </row>
    <row r="36" ht="22.5" customHeight="1">
      <c r="A36" s="10" t="s">
        <v>105</v>
      </c>
      <c r="B36" s="10" t="s">
        <v>384</v>
      </c>
      <c r="C36" s="11" t="s">
        <v>447</v>
      </c>
      <c r="D36" s="49"/>
      <c r="H36" s="10" t="s">
        <v>409</v>
      </c>
      <c r="I36" s="10" t="s">
        <v>316</v>
      </c>
      <c r="J36" s="51" t="s">
        <v>448</v>
      </c>
    </row>
    <row r="37" ht="22.5" customHeight="1">
      <c r="A37" s="10" t="s">
        <v>100</v>
      </c>
      <c r="B37" s="10" t="s">
        <v>384</v>
      </c>
      <c r="C37" s="11" t="s">
        <v>449</v>
      </c>
      <c r="D37" s="52"/>
      <c r="H37" s="8"/>
      <c r="I37" s="8"/>
      <c r="J37" s="51" t="s">
        <v>448</v>
      </c>
    </row>
    <row r="38" ht="22.5" customHeight="1">
      <c r="A38" s="10" t="s">
        <v>100</v>
      </c>
      <c r="B38" s="10" t="s">
        <v>384</v>
      </c>
      <c r="C38" s="11" t="s">
        <v>450</v>
      </c>
      <c r="D38" s="49" t="s">
        <v>451</v>
      </c>
      <c r="E38" s="11" t="s">
        <v>452</v>
      </c>
      <c r="F38" s="11" t="s">
        <v>453</v>
      </c>
      <c r="H38" s="10" t="s">
        <v>409</v>
      </c>
      <c r="I38" s="10" t="s">
        <v>316</v>
      </c>
      <c r="J38" s="51" t="s">
        <v>448</v>
      </c>
    </row>
    <row r="39" ht="22.5" customHeight="1">
      <c r="A39" s="10" t="s">
        <v>100</v>
      </c>
      <c r="B39" s="10" t="s">
        <v>384</v>
      </c>
      <c r="C39" s="11" t="s">
        <v>454</v>
      </c>
      <c r="D39" s="49"/>
      <c r="H39" s="10" t="s">
        <v>409</v>
      </c>
      <c r="I39" s="10" t="s">
        <v>316</v>
      </c>
      <c r="J39" s="51" t="s">
        <v>447</v>
      </c>
    </row>
    <row r="40" ht="22.5" customHeight="1">
      <c r="A40" s="10" t="s">
        <v>100</v>
      </c>
      <c r="B40" s="10" t="s">
        <v>384</v>
      </c>
      <c r="C40" s="11" t="s">
        <v>455</v>
      </c>
      <c r="D40" s="52"/>
      <c r="F40" s="53"/>
      <c r="H40" s="10" t="s">
        <v>409</v>
      </c>
      <c r="I40" s="10" t="s">
        <v>316</v>
      </c>
      <c r="J40" s="51" t="s">
        <v>454</v>
      </c>
    </row>
    <row r="41" ht="22.5" customHeight="1">
      <c r="A41" s="10" t="s">
        <v>101</v>
      </c>
      <c r="B41" s="10" t="s">
        <v>384</v>
      </c>
      <c r="C41" s="11" t="s">
        <v>456</v>
      </c>
      <c r="D41" s="52"/>
      <c r="F41" s="53"/>
      <c r="H41" s="10" t="s">
        <v>409</v>
      </c>
      <c r="I41" s="10" t="s">
        <v>316</v>
      </c>
      <c r="J41" s="51" t="s">
        <v>414</v>
      </c>
    </row>
    <row r="42" ht="22.5" customHeight="1">
      <c r="A42" s="10" t="s">
        <v>101</v>
      </c>
      <c r="B42" s="10" t="s">
        <v>384</v>
      </c>
      <c r="C42" s="11" t="s">
        <v>457</v>
      </c>
      <c r="D42" s="52"/>
      <c r="F42" s="53"/>
      <c r="H42" s="10" t="s">
        <v>409</v>
      </c>
      <c r="I42" s="10" t="s">
        <v>316</v>
      </c>
      <c r="J42" s="51" t="s">
        <v>458</v>
      </c>
    </row>
    <row r="43" ht="22.5" customHeight="1">
      <c r="A43" s="10" t="s">
        <v>101</v>
      </c>
      <c r="B43" s="10" t="s">
        <v>384</v>
      </c>
      <c r="C43" s="11" t="s">
        <v>459</v>
      </c>
      <c r="D43" s="52"/>
      <c r="F43" s="53"/>
      <c r="H43" s="10" t="s">
        <v>409</v>
      </c>
      <c r="I43" s="10" t="s">
        <v>334</v>
      </c>
      <c r="J43" s="51" t="s">
        <v>460</v>
      </c>
    </row>
    <row r="44" ht="22.5" customHeight="1">
      <c r="A44" s="8"/>
      <c r="B44" s="8"/>
      <c r="D44" s="52"/>
      <c r="F44" s="53"/>
      <c r="H44" s="8"/>
      <c r="I44" s="8"/>
      <c r="J44" s="53"/>
    </row>
    <row r="45" ht="22.5" customHeight="1">
      <c r="A45" s="8"/>
      <c r="B45" s="8"/>
      <c r="D45" s="52"/>
      <c r="F45" s="53"/>
      <c r="H45" s="8"/>
      <c r="I45" s="8"/>
      <c r="J45" s="53"/>
    </row>
    <row r="46" ht="22.5" customHeight="1">
      <c r="A46" s="8"/>
      <c r="B46" s="8"/>
      <c r="D46" s="52"/>
      <c r="F46" s="53"/>
      <c r="H46" s="8"/>
      <c r="I46" s="8"/>
      <c r="J46" s="53"/>
    </row>
    <row r="47" ht="22.5" customHeight="1">
      <c r="A47" s="8"/>
      <c r="B47" s="8"/>
      <c r="D47" s="52"/>
      <c r="F47" s="53"/>
      <c r="H47" s="8"/>
      <c r="I47" s="8"/>
      <c r="J47" s="53"/>
    </row>
    <row r="48" ht="22.5" customHeight="1">
      <c r="A48" s="8"/>
      <c r="B48" s="8"/>
      <c r="C48" s="11"/>
      <c r="D48" s="54"/>
      <c r="E48" s="7"/>
      <c r="F48" s="53"/>
      <c r="G48" s="7"/>
      <c r="H48" s="8"/>
      <c r="I48" s="8"/>
      <c r="J48" s="53"/>
    </row>
    <row r="49" ht="22.5" customHeight="1">
      <c r="A49" s="10"/>
      <c r="B49" s="10"/>
      <c r="C49" s="11"/>
      <c r="D49" s="54"/>
      <c r="E49" s="7"/>
      <c r="F49" s="53"/>
      <c r="G49" s="7"/>
      <c r="H49" s="8"/>
      <c r="I49" s="8"/>
      <c r="J49" s="53"/>
    </row>
    <row r="50" ht="22.5" customHeight="1">
      <c r="A50" s="8"/>
      <c r="B50" s="8"/>
      <c r="C50" s="11"/>
      <c r="D50" s="54"/>
      <c r="E50" s="7"/>
      <c r="F50" s="53"/>
      <c r="G50" s="7"/>
      <c r="H50" s="8"/>
      <c r="I50" s="8"/>
      <c r="J50" s="53"/>
    </row>
    <row r="51" ht="22.5" customHeight="1">
      <c r="A51" s="8"/>
      <c r="B51" s="8"/>
      <c r="C51" s="7"/>
      <c r="D51" s="54"/>
      <c r="E51" s="7"/>
      <c r="F51" s="53"/>
      <c r="G51" s="7"/>
      <c r="H51" s="8"/>
      <c r="I51" s="8"/>
      <c r="J51" s="53"/>
    </row>
    <row r="52" ht="22.5" customHeight="1">
      <c r="A52" s="8"/>
      <c r="B52" s="8"/>
      <c r="C52" s="7"/>
      <c r="D52" s="54"/>
      <c r="E52" s="7"/>
      <c r="F52" s="53"/>
      <c r="G52" s="7"/>
      <c r="H52" s="8"/>
      <c r="I52" s="8"/>
      <c r="J52" s="53"/>
    </row>
    <row r="53" ht="22.5" customHeight="1">
      <c r="A53" s="8"/>
      <c r="B53" s="8"/>
      <c r="C53" s="7"/>
      <c r="D53" s="54"/>
      <c r="E53" s="7"/>
      <c r="F53" s="53"/>
      <c r="G53" s="7"/>
      <c r="H53" s="8"/>
      <c r="I53" s="8"/>
      <c r="J53" s="53"/>
    </row>
    <row r="54" ht="22.5" customHeight="1">
      <c r="A54" s="8"/>
      <c r="B54" s="8"/>
      <c r="C54" s="7"/>
      <c r="D54" s="54"/>
      <c r="E54" s="7"/>
      <c r="F54" s="53"/>
      <c r="G54" s="7"/>
      <c r="H54" s="8"/>
      <c r="I54" s="8"/>
      <c r="J54" s="53"/>
    </row>
    <row r="55" ht="22.5" customHeight="1">
      <c r="A55" s="8"/>
      <c r="B55" s="8"/>
      <c r="C55" s="7"/>
      <c r="D55" s="54"/>
      <c r="E55" s="7"/>
      <c r="F55" s="53"/>
      <c r="G55" s="7"/>
      <c r="H55" s="8"/>
      <c r="I55" s="8"/>
      <c r="J55" s="53"/>
    </row>
    <row r="56" ht="22.5" customHeight="1">
      <c r="A56" s="8"/>
      <c r="B56" s="8"/>
      <c r="C56" s="7"/>
      <c r="D56" s="54"/>
      <c r="E56" s="7"/>
      <c r="F56" s="53"/>
      <c r="G56" s="7"/>
      <c r="H56" s="8"/>
      <c r="I56" s="8"/>
      <c r="J56" s="53"/>
    </row>
    <row r="57" ht="22.5" customHeight="1">
      <c r="A57" s="8"/>
      <c r="B57" s="8"/>
      <c r="C57" s="7"/>
      <c r="D57" s="54"/>
      <c r="E57" s="7"/>
      <c r="F57" s="53"/>
      <c r="G57" s="7"/>
      <c r="H57" s="8"/>
      <c r="I57" s="8"/>
      <c r="J57" s="53"/>
    </row>
    <row r="58" ht="22.5" customHeight="1">
      <c r="A58" s="8"/>
      <c r="B58" s="8"/>
      <c r="C58" s="7"/>
      <c r="D58" s="54"/>
      <c r="E58" s="7"/>
      <c r="F58" s="53"/>
      <c r="G58" s="7"/>
      <c r="H58" s="8"/>
      <c r="I58" s="8"/>
      <c r="J58" s="53"/>
    </row>
    <row r="59" ht="22.5" customHeight="1">
      <c r="A59" s="8"/>
      <c r="B59" s="8"/>
      <c r="C59" s="7"/>
      <c r="D59" s="54"/>
      <c r="E59" s="7"/>
      <c r="F59" s="53"/>
      <c r="G59" s="7"/>
      <c r="H59" s="8"/>
      <c r="I59" s="8"/>
      <c r="J59" s="53"/>
    </row>
    <row r="60" ht="22.5" customHeight="1">
      <c r="A60" s="8"/>
      <c r="B60" s="8"/>
      <c r="C60" s="7"/>
      <c r="D60" s="54"/>
      <c r="E60" s="7"/>
      <c r="F60" s="53"/>
      <c r="G60" s="7"/>
      <c r="H60" s="8"/>
      <c r="I60" s="8"/>
      <c r="J60" s="53"/>
    </row>
    <row r="61" ht="22.5" customHeight="1">
      <c r="A61" s="10" t="s">
        <v>116</v>
      </c>
      <c r="B61" s="10" t="s">
        <v>461</v>
      </c>
      <c r="C61" s="11" t="s">
        <v>462</v>
      </c>
      <c r="D61" s="55"/>
      <c r="E61" s="7"/>
      <c r="F61" s="51"/>
      <c r="G61" s="7"/>
      <c r="H61" s="56"/>
      <c r="I61" s="10" t="s">
        <v>280</v>
      </c>
      <c r="J61" s="51"/>
    </row>
    <row r="62" ht="22.5" customHeight="1">
      <c r="A62" s="10" t="s">
        <v>116</v>
      </c>
      <c r="B62" s="10" t="s">
        <v>461</v>
      </c>
      <c r="C62" s="11" t="s">
        <v>463</v>
      </c>
      <c r="D62" s="52"/>
      <c r="F62" s="51"/>
      <c r="H62" s="8"/>
      <c r="I62" s="10" t="s">
        <v>280</v>
      </c>
      <c r="J62" s="51"/>
    </row>
    <row r="63" ht="22.5" customHeight="1">
      <c r="A63" s="10" t="s">
        <v>116</v>
      </c>
      <c r="B63" s="10" t="s">
        <v>461</v>
      </c>
      <c r="C63" s="11" t="s">
        <v>464</v>
      </c>
      <c r="D63" s="52"/>
      <c r="F63" s="51"/>
      <c r="H63" s="8"/>
      <c r="I63" s="10" t="s">
        <v>280</v>
      </c>
      <c r="J63" s="51"/>
    </row>
    <row r="64" ht="22.5" customHeight="1">
      <c r="A64" s="10" t="s">
        <v>103</v>
      </c>
      <c r="B64" s="10" t="s">
        <v>461</v>
      </c>
      <c r="C64" s="11" t="s">
        <v>465</v>
      </c>
      <c r="D64" s="54"/>
      <c r="E64" s="7"/>
      <c r="F64" s="51"/>
      <c r="G64" s="7"/>
      <c r="H64" s="56"/>
      <c r="I64" s="10" t="s">
        <v>280</v>
      </c>
      <c r="J64" s="51"/>
    </row>
    <row r="65" ht="22.5" customHeight="1">
      <c r="A65" s="10" t="s">
        <v>103</v>
      </c>
      <c r="B65" s="10" t="s">
        <v>461</v>
      </c>
      <c r="C65" s="11" t="s">
        <v>466</v>
      </c>
      <c r="D65" s="54"/>
      <c r="E65" s="7"/>
      <c r="F65" s="51"/>
      <c r="G65" s="7"/>
      <c r="H65" s="56"/>
      <c r="I65" s="10" t="s">
        <v>280</v>
      </c>
      <c r="J65" s="51"/>
    </row>
    <row r="66" ht="22.5" customHeight="1">
      <c r="A66" s="10" t="s">
        <v>103</v>
      </c>
      <c r="B66" s="10" t="s">
        <v>461</v>
      </c>
      <c r="C66" s="11" t="s">
        <v>467</v>
      </c>
      <c r="D66" s="54"/>
      <c r="E66" s="7"/>
      <c r="F66" s="51"/>
      <c r="G66" s="7"/>
      <c r="H66" s="56"/>
      <c r="I66" s="10" t="s">
        <v>280</v>
      </c>
      <c r="J66" s="51"/>
    </row>
    <row r="67" ht="22.5" customHeight="1">
      <c r="A67" s="10" t="s">
        <v>104</v>
      </c>
      <c r="B67" s="10" t="s">
        <v>461</v>
      </c>
      <c r="C67" s="11" t="s">
        <v>468</v>
      </c>
      <c r="D67" s="54"/>
      <c r="E67" s="7"/>
      <c r="F67" s="51"/>
      <c r="G67" s="7"/>
      <c r="H67" s="56"/>
      <c r="I67" s="10" t="s">
        <v>280</v>
      </c>
      <c r="J67" s="51"/>
    </row>
    <row r="68" ht="22.5" customHeight="1">
      <c r="A68" s="10" t="s">
        <v>104</v>
      </c>
      <c r="B68" s="10" t="s">
        <v>461</v>
      </c>
      <c r="C68" s="11" t="s">
        <v>469</v>
      </c>
      <c r="D68" s="54"/>
      <c r="E68" s="7"/>
      <c r="F68" s="51"/>
      <c r="G68" s="7"/>
      <c r="H68" s="56"/>
      <c r="I68" s="10" t="s">
        <v>280</v>
      </c>
      <c r="J68" s="51"/>
    </row>
    <row r="69" ht="22.5" customHeight="1">
      <c r="A69" s="10" t="s">
        <v>104</v>
      </c>
      <c r="B69" s="10" t="s">
        <v>461</v>
      </c>
      <c r="C69" s="11" t="s">
        <v>470</v>
      </c>
      <c r="D69" s="54"/>
      <c r="E69" s="7"/>
      <c r="F69" s="51"/>
      <c r="G69" s="7"/>
      <c r="H69" s="56"/>
      <c r="I69" s="10" t="s">
        <v>280</v>
      </c>
      <c r="J69" s="51"/>
    </row>
    <row r="70" ht="22.5" customHeight="1">
      <c r="A70" s="10" t="s">
        <v>105</v>
      </c>
      <c r="B70" s="10" t="s">
        <v>461</v>
      </c>
      <c r="C70" s="11" t="s">
        <v>471</v>
      </c>
      <c r="D70" s="54"/>
      <c r="E70" s="7"/>
      <c r="F70" s="51"/>
      <c r="G70" s="7"/>
      <c r="H70" s="56"/>
      <c r="I70" s="10" t="s">
        <v>297</v>
      </c>
      <c r="J70" s="51"/>
    </row>
    <row r="71" ht="22.5" customHeight="1">
      <c r="A71" s="10" t="s">
        <v>105</v>
      </c>
      <c r="B71" s="10" t="s">
        <v>461</v>
      </c>
      <c r="C71" s="11" t="s">
        <v>472</v>
      </c>
      <c r="D71" s="54"/>
      <c r="E71" s="7"/>
      <c r="F71" s="51"/>
      <c r="G71" s="7"/>
      <c r="H71" s="56"/>
      <c r="I71" s="10" t="s">
        <v>297</v>
      </c>
      <c r="J71" s="51"/>
    </row>
    <row r="72" ht="22.5" customHeight="1">
      <c r="A72" s="10" t="s">
        <v>100</v>
      </c>
      <c r="B72" s="10" t="s">
        <v>461</v>
      </c>
      <c r="C72" s="11" t="s">
        <v>473</v>
      </c>
      <c r="D72" s="54"/>
      <c r="E72" s="7"/>
      <c r="F72" s="51"/>
      <c r="G72" s="7"/>
      <c r="H72" s="56"/>
      <c r="I72" s="10" t="s">
        <v>297</v>
      </c>
      <c r="J72" s="51"/>
    </row>
    <row r="73" ht="22.5" customHeight="1">
      <c r="A73" s="10" t="s">
        <v>100</v>
      </c>
      <c r="B73" s="10" t="s">
        <v>461</v>
      </c>
      <c r="C73" s="11" t="s">
        <v>474</v>
      </c>
      <c r="D73" s="54"/>
      <c r="E73" s="7"/>
      <c r="F73" s="51"/>
      <c r="G73" s="7"/>
      <c r="H73" s="56"/>
      <c r="I73" s="10" t="s">
        <v>297</v>
      </c>
      <c r="J73" s="51"/>
    </row>
    <row r="74" ht="22.5" customHeight="1">
      <c r="A74" s="10" t="s">
        <v>101</v>
      </c>
      <c r="B74" s="10" t="s">
        <v>461</v>
      </c>
      <c r="C74" s="11" t="s">
        <v>475</v>
      </c>
      <c r="D74" s="54"/>
      <c r="E74" s="11" t="s">
        <v>476</v>
      </c>
      <c r="F74" s="51"/>
      <c r="G74" s="7"/>
      <c r="H74" s="56"/>
      <c r="I74" s="10" t="s">
        <v>316</v>
      </c>
      <c r="J74" s="51"/>
    </row>
    <row r="75" ht="22.5" customHeight="1">
      <c r="A75" s="10" t="s">
        <v>101</v>
      </c>
      <c r="B75" s="10" t="s">
        <v>461</v>
      </c>
      <c r="C75" s="11" t="s">
        <v>477</v>
      </c>
      <c r="D75" s="54"/>
      <c r="E75" s="11" t="s">
        <v>478</v>
      </c>
      <c r="F75" s="51"/>
      <c r="G75" s="7"/>
      <c r="H75" s="56"/>
      <c r="I75" s="10" t="s">
        <v>316</v>
      </c>
      <c r="J75" s="51"/>
    </row>
    <row r="76" ht="22.5" customHeight="1">
      <c r="A76" s="10" t="s">
        <v>340</v>
      </c>
      <c r="B76" s="10" t="s">
        <v>461</v>
      </c>
      <c r="C76" s="11" t="s">
        <v>479</v>
      </c>
      <c r="D76" s="54"/>
      <c r="E76" s="11" t="s">
        <v>480</v>
      </c>
      <c r="F76" s="51"/>
      <c r="G76" s="7"/>
      <c r="H76" s="56"/>
      <c r="I76" s="10" t="s">
        <v>316</v>
      </c>
      <c r="J76" s="51"/>
    </row>
    <row r="77" ht="22.5" customHeight="1">
      <c r="A77" s="10" t="s">
        <v>340</v>
      </c>
      <c r="B77" s="10" t="s">
        <v>461</v>
      </c>
      <c r="C77" s="11" t="s">
        <v>481</v>
      </c>
      <c r="D77" s="54"/>
      <c r="E77" s="11" t="s">
        <v>482</v>
      </c>
      <c r="F77" s="51"/>
      <c r="G77" s="7"/>
      <c r="H77" s="56"/>
      <c r="I77" s="10" t="s">
        <v>316</v>
      </c>
      <c r="J77" s="51"/>
    </row>
    <row r="78" ht="22.5" customHeight="1">
      <c r="A78" s="8"/>
      <c r="B78" s="8"/>
      <c r="C78" s="7"/>
      <c r="D78" s="54"/>
      <c r="E78" s="7"/>
      <c r="F78" s="53"/>
      <c r="G78" s="7"/>
      <c r="H78" s="8"/>
      <c r="I78" s="8"/>
      <c r="J78" s="53"/>
    </row>
    <row r="79" ht="22.5" customHeight="1">
      <c r="A79" s="8"/>
      <c r="B79" s="8"/>
      <c r="C79" s="7"/>
      <c r="D79" s="54"/>
      <c r="E79" s="7"/>
      <c r="F79" s="53"/>
      <c r="G79" s="7"/>
      <c r="H79" s="8"/>
      <c r="I79" s="8"/>
      <c r="J79" s="53"/>
    </row>
    <row r="80" ht="22.5" customHeight="1">
      <c r="A80" s="8"/>
      <c r="B80" s="8"/>
      <c r="C80" s="7"/>
      <c r="D80" s="54"/>
      <c r="E80" s="7"/>
      <c r="F80" s="53"/>
      <c r="G80" s="7"/>
      <c r="H80" s="8"/>
      <c r="I80" s="8"/>
      <c r="J80" s="53"/>
    </row>
    <row r="81" ht="22.5" customHeight="1">
      <c r="A81" s="8"/>
      <c r="B81" s="8"/>
      <c r="C81" s="7"/>
      <c r="D81" s="54"/>
      <c r="E81" s="7"/>
      <c r="F81" s="53"/>
      <c r="G81" s="7"/>
      <c r="H81" s="8"/>
      <c r="I81" s="8"/>
      <c r="J81" s="53"/>
    </row>
    <row r="82" ht="22.5" customHeight="1">
      <c r="A82" s="8"/>
      <c r="B82" s="8"/>
      <c r="C82" s="7"/>
      <c r="D82" s="54"/>
      <c r="E82" s="7"/>
      <c r="F82" s="53"/>
      <c r="G82" s="7"/>
      <c r="H82" s="8"/>
      <c r="I82" s="8"/>
      <c r="J82" s="53"/>
    </row>
    <row r="83" ht="22.5" customHeight="1">
      <c r="A83" s="8"/>
      <c r="B83" s="8"/>
      <c r="C83" s="7"/>
      <c r="D83" s="54"/>
      <c r="E83" s="7"/>
      <c r="F83" s="53"/>
      <c r="G83" s="7"/>
      <c r="H83" s="8"/>
      <c r="I83" s="8"/>
      <c r="J83" s="53"/>
    </row>
    <row r="84" ht="22.5" customHeight="1">
      <c r="A84" s="8"/>
      <c r="B84" s="8"/>
      <c r="C84" s="7"/>
      <c r="D84" s="54"/>
      <c r="E84" s="7"/>
      <c r="F84" s="53"/>
      <c r="G84" s="7"/>
      <c r="H84" s="8"/>
      <c r="I84" s="8"/>
      <c r="J84" s="53"/>
    </row>
    <row r="85" ht="22.5" customHeight="1">
      <c r="A85" s="8"/>
      <c r="B85" s="8"/>
      <c r="C85" s="7"/>
      <c r="D85" s="54"/>
      <c r="E85" s="7"/>
      <c r="F85" s="53"/>
      <c r="G85" s="7"/>
      <c r="H85" s="8"/>
      <c r="I85" s="8"/>
      <c r="J85" s="53"/>
    </row>
    <row r="86" ht="22.5" customHeight="1">
      <c r="A86" s="8"/>
      <c r="B86" s="8"/>
      <c r="C86" s="7"/>
      <c r="D86" s="54"/>
      <c r="E86" s="7"/>
      <c r="F86" s="53"/>
      <c r="G86" s="7"/>
      <c r="H86" s="8"/>
      <c r="I86" s="8"/>
      <c r="J86" s="53"/>
    </row>
    <row r="87" ht="22.5" customHeight="1">
      <c r="A87" s="8"/>
      <c r="B87" s="8"/>
      <c r="C87" s="7"/>
      <c r="D87" s="54"/>
      <c r="E87" s="7"/>
      <c r="F87" s="53"/>
      <c r="G87" s="7"/>
      <c r="H87" s="8"/>
      <c r="I87" s="8"/>
      <c r="J87" s="53"/>
    </row>
    <row r="88" ht="22.5" customHeight="1">
      <c r="A88" s="8"/>
      <c r="B88" s="8"/>
      <c r="C88" s="7"/>
      <c r="D88" s="54"/>
      <c r="E88" s="7"/>
      <c r="F88" s="53"/>
      <c r="G88" s="7"/>
      <c r="H88" s="8"/>
      <c r="I88" s="8"/>
      <c r="J88" s="53"/>
    </row>
    <row r="89" ht="22.5" customHeight="1">
      <c r="A89" s="8"/>
      <c r="B89" s="8"/>
      <c r="C89" s="7"/>
      <c r="D89" s="54"/>
      <c r="E89" s="7"/>
      <c r="F89" s="53"/>
      <c r="G89" s="7"/>
      <c r="H89" s="8"/>
      <c r="I89" s="8"/>
      <c r="J89" s="53"/>
    </row>
    <row r="90" ht="22.5" customHeight="1">
      <c r="A90" s="8"/>
      <c r="B90" s="8"/>
      <c r="C90" s="7"/>
      <c r="D90" s="54"/>
      <c r="E90" s="7"/>
      <c r="F90" s="53"/>
      <c r="G90" s="7"/>
      <c r="H90" s="8"/>
      <c r="I90" s="8"/>
      <c r="J90" s="53"/>
    </row>
    <row r="91" ht="22.5" customHeight="1">
      <c r="A91" s="8"/>
      <c r="B91" s="8"/>
      <c r="C91" s="7"/>
      <c r="D91" s="54"/>
      <c r="E91" s="7"/>
      <c r="F91" s="53"/>
      <c r="G91" s="7"/>
      <c r="H91" s="8"/>
      <c r="I91" s="8"/>
      <c r="J91" s="53"/>
    </row>
    <row r="92" ht="22.5" customHeight="1">
      <c r="A92" s="8"/>
      <c r="B92" s="8"/>
      <c r="C92" s="7"/>
      <c r="D92" s="54"/>
      <c r="E92" s="7"/>
      <c r="F92" s="53"/>
      <c r="G92" s="7"/>
      <c r="H92" s="8"/>
      <c r="I92" s="8"/>
      <c r="J92" s="53"/>
    </row>
    <row r="93" ht="22.5" customHeight="1">
      <c r="A93" s="8"/>
      <c r="B93" s="8"/>
      <c r="C93" s="7"/>
      <c r="D93" s="54"/>
      <c r="E93" s="7"/>
      <c r="F93" s="53"/>
      <c r="G93" s="7"/>
      <c r="H93" s="8"/>
      <c r="I93" s="8"/>
      <c r="J93" s="53"/>
    </row>
    <row r="94" ht="22.5" customHeight="1">
      <c r="A94" s="8"/>
      <c r="B94" s="8"/>
      <c r="C94" s="7"/>
      <c r="D94" s="54"/>
      <c r="E94" s="7"/>
      <c r="F94" s="53"/>
      <c r="G94" s="7"/>
      <c r="H94" s="8"/>
      <c r="I94" s="8"/>
      <c r="J94" s="53"/>
    </row>
    <row r="95" ht="22.5" customHeight="1">
      <c r="A95" s="8"/>
      <c r="B95" s="8"/>
      <c r="C95" s="7"/>
      <c r="D95" s="54"/>
      <c r="E95" s="7"/>
      <c r="F95" s="53"/>
      <c r="G95" s="7"/>
      <c r="H95" s="8"/>
      <c r="I95" s="8"/>
      <c r="J95" s="53"/>
    </row>
    <row r="96" ht="22.5" customHeight="1">
      <c r="A96" s="8"/>
      <c r="B96" s="8"/>
      <c r="C96" s="7"/>
      <c r="D96" s="54"/>
      <c r="E96" s="7"/>
      <c r="F96" s="53"/>
      <c r="G96" s="7"/>
      <c r="H96" s="8"/>
      <c r="I96" s="8"/>
      <c r="J96" s="53"/>
    </row>
    <row r="97" ht="22.5" customHeight="1">
      <c r="A97" s="8"/>
      <c r="B97" s="8"/>
      <c r="C97" s="7"/>
      <c r="D97" s="54"/>
      <c r="E97" s="7"/>
      <c r="F97" s="53"/>
      <c r="G97" s="7"/>
      <c r="H97" s="8"/>
      <c r="I97" s="8"/>
      <c r="J97" s="53"/>
    </row>
    <row r="98" ht="22.5" customHeight="1">
      <c r="A98" s="8"/>
      <c r="B98" s="8"/>
      <c r="C98" s="7"/>
      <c r="D98" s="54"/>
      <c r="E98" s="7"/>
      <c r="F98" s="53"/>
      <c r="G98" s="7"/>
      <c r="H98" s="8"/>
      <c r="I98" s="8"/>
      <c r="J98" s="53"/>
    </row>
    <row r="99" ht="22.5" customHeight="1">
      <c r="A99" s="8"/>
      <c r="B99" s="8"/>
      <c r="C99" s="7"/>
      <c r="D99" s="54"/>
      <c r="E99" s="7"/>
      <c r="F99" s="53"/>
      <c r="G99" s="7"/>
      <c r="H99" s="8"/>
      <c r="I99" s="8"/>
      <c r="J99" s="53"/>
    </row>
    <row r="100" ht="22.5" customHeight="1">
      <c r="A100" s="8"/>
      <c r="B100" s="8"/>
      <c r="C100" s="7"/>
      <c r="D100" s="54"/>
      <c r="E100" s="7"/>
      <c r="F100" s="53"/>
      <c r="G100" s="7"/>
      <c r="H100" s="8"/>
      <c r="I100" s="8"/>
      <c r="J100" s="53"/>
    </row>
    <row r="101" ht="22.5" customHeight="1">
      <c r="A101" s="8"/>
      <c r="B101" s="8"/>
      <c r="C101" s="7"/>
      <c r="D101" s="54"/>
      <c r="E101" s="7"/>
      <c r="F101" s="53"/>
      <c r="G101" s="7"/>
      <c r="H101" s="8"/>
      <c r="I101" s="8"/>
      <c r="J101" s="53"/>
    </row>
    <row r="102" ht="22.5" customHeight="1">
      <c r="A102" s="8"/>
      <c r="B102" s="8"/>
      <c r="C102" s="7"/>
      <c r="D102" s="54"/>
      <c r="E102" s="7"/>
      <c r="F102" s="53"/>
      <c r="G102" s="7"/>
      <c r="H102" s="8"/>
      <c r="I102" s="8"/>
      <c r="J102" s="53"/>
    </row>
    <row r="103" ht="22.5" customHeight="1">
      <c r="A103" s="8"/>
      <c r="B103" s="8"/>
      <c r="C103" s="7"/>
      <c r="D103" s="54"/>
      <c r="E103" s="7"/>
      <c r="F103" s="53"/>
      <c r="G103" s="7"/>
      <c r="H103" s="8"/>
      <c r="I103" s="8"/>
      <c r="J103" s="53"/>
    </row>
    <row r="104" ht="22.5" customHeight="1">
      <c r="A104" s="8"/>
      <c r="B104" s="8"/>
      <c r="C104" s="7"/>
      <c r="D104" s="54"/>
      <c r="E104" s="7"/>
      <c r="F104" s="53"/>
      <c r="G104" s="7"/>
      <c r="H104" s="8"/>
      <c r="I104" s="8"/>
      <c r="J104" s="53"/>
    </row>
  </sheetData>
  <dataValidations>
    <dataValidation type="list" allowBlank="1" sqref="J2:J104">
      <formula1>#REF!</formula1>
    </dataValidation>
    <dataValidation type="list" allowBlank="1" sqref="B2:B104">
      <formula1>"Kick,Poomsae,Movement,Tricking,Acrobatic,Aerobic,Self Defense"</formula1>
    </dataValidation>
    <dataValidation type="list" allowBlank="1" sqref="I2:I104">
      <formula1>"Fundamental,Intermediate,Advanced,Senior,Elite"</formula1>
    </dataValidation>
    <dataValidation type="list" allowBlank="1" sqref="H2:H104">
      <formula1>"Recognized Poomsae,New Poomsae,Palgwae Poomsea,Normal Kick,Special Kick,Tricking Kick"</formula1>
    </dataValidation>
    <dataValidation type="list" allowBlank="1" sqref="A2:A104">
      <formula1>#REF!</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31"/>
  </hyperlinks>
  <drawing r:id="rId21"/>
  <tableParts count="1">
    <tablePart r:id="rId2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37.88"/>
    <col customWidth="1" min="3" max="3" width="29.38"/>
    <col customWidth="1" min="4" max="4" width="30.75"/>
    <col customWidth="1" min="5" max="6" width="22.63"/>
  </cols>
  <sheetData>
    <row r="1" ht="22.5" customHeight="1">
      <c r="A1" s="57" t="s">
        <v>266</v>
      </c>
      <c r="B1" s="57" t="s">
        <v>483</v>
      </c>
      <c r="C1" s="57" t="s">
        <v>484</v>
      </c>
      <c r="D1" s="57" t="s">
        <v>485</v>
      </c>
      <c r="E1" s="58"/>
      <c r="F1" s="58"/>
      <c r="G1" s="58"/>
      <c r="H1" s="58"/>
      <c r="I1" s="58"/>
      <c r="J1" s="58"/>
      <c r="K1" s="58"/>
      <c r="L1" s="58"/>
      <c r="M1" s="58"/>
      <c r="N1" s="58"/>
      <c r="O1" s="58"/>
      <c r="P1" s="58"/>
      <c r="Q1" s="58"/>
      <c r="R1" s="58"/>
      <c r="S1" s="58"/>
      <c r="T1" s="58"/>
      <c r="U1" s="58"/>
      <c r="V1" s="58"/>
      <c r="W1" s="58"/>
      <c r="X1" s="58"/>
      <c r="Y1" s="58"/>
      <c r="Z1" s="58"/>
    </row>
    <row r="2" ht="22.5" customHeight="1">
      <c r="A2" s="59" t="s">
        <v>116</v>
      </c>
      <c r="B2" s="59" t="s">
        <v>486</v>
      </c>
      <c r="C2" s="59" t="s">
        <v>487</v>
      </c>
      <c r="D2" s="59" t="s">
        <v>488</v>
      </c>
      <c r="E2" s="58"/>
      <c r="F2" s="58"/>
      <c r="G2" s="58"/>
      <c r="H2" s="58"/>
      <c r="I2" s="58"/>
      <c r="J2" s="58"/>
      <c r="K2" s="58"/>
      <c r="L2" s="58"/>
      <c r="M2" s="58"/>
      <c r="N2" s="58"/>
      <c r="O2" s="58"/>
      <c r="P2" s="58"/>
      <c r="Q2" s="58"/>
      <c r="R2" s="58"/>
      <c r="S2" s="58"/>
      <c r="T2" s="58"/>
      <c r="U2" s="58"/>
      <c r="V2" s="58"/>
      <c r="W2" s="58"/>
      <c r="X2" s="58"/>
      <c r="Y2" s="58"/>
      <c r="Z2" s="58"/>
    </row>
    <row r="3" ht="22.5" customHeight="1">
      <c r="A3" s="59" t="s">
        <v>103</v>
      </c>
      <c r="B3" s="60" t="s">
        <v>489</v>
      </c>
      <c r="C3" s="60" t="s">
        <v>490</v>
      </c>
      <c r="D3" s="60" t="s">
        <v>491</v>
      </c>
      <c r="E3" s="58"/>
      <c r="F3" s="58"/>
      <c r="G3" s="58"/>
      <c r="H3" s="58"/>
      <c r="I3" s="58"/>
      <c r="J3" s="58"/>
      <c r="K3" s="58"/>
      <c r="L3" s="58"/>
      <c r="M3" s="58"/>
      <c r="N3" s="58"/>
      <c r="O3" s="58"/>
      <c r="P3" s="58"/>
      <c r="Q3" s="58"/>
      <c r="R3" s="58"/>
      <c r="S3" s="58"/>
      <c r="T3" s="58"/>
      <c r="U3" s="58"/>
      <c r="V3" s="58"/>
      <c r="W3" s="58"/>
      <c r="X3" s="58"/>
      <c r="Y3" s="58"/>
      <c r="Z3" s="58"/>
    </row>
    <row r="4" ht="22.5" customHeight="1">
      <c r="A4" s="59" t="s">
        <v>104</v>
      </c>
      <c r="B4" s="59" t="s">
        <v>492</v>
      </c>
      <c r="C4" s="59" t="s">
        <v>493</v>
      </c>
      <c r="D4" s="59" t="s">
        <v>494</v>
      </c>
      <c r="E4" s="58"/>
      <c r="F4" s="58"/>
      <c r="G4" s="58"/>
      <c r="H4" s="58"/>
      <c r="I4" s="58"/>
      <c r="J4" s="58"/>
      <c r="K4" s="58"/>
      <c r="L4" s="58"/>
      <c r="M4" s="58"/>
      <c r="N4" s="58"/>
      <c r="O4" s="58"/>
      <c r="P4" s="58"/>
      <c r="Q4" s="58"/>
      <c r="R4" s="58"/>
      <c r="S4" s="58"/>
      <c r="T4" s="58"/>
      <c r="U4" s="58"/>
      <c r="V4" s="58"/>
      <c r="W4" s="58"/>
      <c r="X4" s="58"/>
      <c r="Y4" s="58"/>
      <c r="Z4" s="58"/>
    </row>
    <row r="5" ht="22.5" customHeight="1">
      <c r="A5" s="59" t="s">
        <v>105</v>
      </c>
      <c r="B5" s="59" t="s">
        <v>495</v>
      </c>
      <c r="C5" s="59" t="s">
        <v>496</v>
      </c>
      <c r="D5" s="59" t="s">
        <v>497</v>
      </c>
      <c r="E5" s="58"/>
      <c r="F5" s="58"/>
      <c r="G5" s="58"/>
      <c r="H5" s="58"/>
      <c r="I5" s="58"/>
      <c r="J5" s="58"/>
      <c r="K5" s="58"/>
      <c r="L5" s="58"/>
      <c r="M5" s="58"/>
      <c r="N5" s="58"/>
      <c r="O5" s="58"/>
      <c r="P5" s="58"/>
      <c r="Q5" s="58"/>
      <c r="R5" s="58"/>
      <c r="S5" s="58"/>
      <c r="T5" s="58"/>
      <c r="U5" s="58"/>
      <c r="V5" s="58"/>
      <c r="W5" s="58"/>
      <c r="X5" s="58"/>
      <c r="Y5" s="58"/>
      <c r="Z5" s="58"/>
    </row>
    <row r="6" ht="22.5" customHeight="1">
      <c r="A6" s="59" t="s">
        <v>100</v>
      </c>
      <c r="B6" s="59" t="s">
        <v>498</v>
      </c>
      <c r="C6" s="59" t="s">
        <v>499</v>
      </c>
      <c r="D6" s="59" t="s">
        <v>500</v>
      </c>
      <c r="E6" s="58"/>
      <c r="F6" s="58"/>
      <c r="G6" s="58"/>
      <c r="H6" s="58"/>
      <c r="I6" s="58"/>
      <c r="J6" s="58"/>
      <c r="K6" s="58"/>
      <c r="L6" s="58"/>
      <c r="M6" s="58"/>
      <c r="N6" s="58"/>
      <c r="O6" s="58"/>
      <c r="P6" s="58"/>
      <c r="Q6" s="58"/>
      <c r="R6" s="58"/>
      <c r="S6" s="58"/>
      <c r="T6" s="58"/>
      <c r="U6" s="58"/>
      <c r="V6" s="58"/>
      <c r="W6" s="58"/>
      <c r="X6" s="58"/>
      <c r="Y6" s="58"/>
      <c r="Z6" s="58"/>
    </row>
    <row r="7" ht="22.5" customHeight="1">
      <c r="A7" s="59" t="s">
        <v>101</v>
      </c>
      <c r="B7" s="59" t="s">
        <v>501</v>
      </c>
      <c r="C7" s="59" t="s">
        <v>502</v>
      </c>
      <c r="D7" s="59" t="s">
        <v>503</v>
      </c>
      <c r="E7" s="58"/>
      <c r="F7" s="58"/>
      <c r="G7" s="58"/>
      <c r="H7" s="58"/>
      <c r="I7" s="58"/>
      <c r="J7" s="58"/>
      <c r="K7" s="58"/>
      <c r="L7" s="58"/>
      <c r="M7" s="58"/>
      <c r="N7" s="58"/>
      <c r="O7" s="58"/>
      <c r="P7" s="58"/>
      <c r="Q7" s="58"/>
      <c r="R7" s="58"/>
      <c r="S7" s="58"/>
      <c r="T7" s="58"/>
      <c r="U7" s="58"/>
      <c r="V7" s="58"/>
      <c r="W7" s="58"/>
      <c r="X7" s="58"/>
      <c r="Y7" s="58"/>
      <c r="Z7" s="58"/>
    </row>
    <row r="8" ht="22.5" customHeight="1">
      <c r="A8" s="59" t="s">
        <v>340</v>
      </c>
      <c r="B8" s="59" t="s">
        <v>504</v>
      </c>
      <c r="C8" s="59" t="s">
        <v>505</v>
      </c>
      <c r="D8" s="59" t="s">
        <v>506</v>
      </c>
      <c r="E8" s="58"/>
      <c r="F8" s="58"/>
      <c r="G8" s="58"/>
      <c r="H8" s="58"/>
      <c r="I8" s="58"/>
      <c r="J8" s="58"/>
      <c r="K8" s="58"/>
      <c r="L8" s="58"/>
      <c r="M8" s="58"/>
      <c r="N8" s="58"/>
      <c r="O8" s="58"/>
      <c r="P8" s="58"/>
      <c r="Q8" s="58"/>
      <c r="R8" s="58"/>
      <c r="S8" s="58"/>
      <c r="T8" s="58"/>
      <c r="U8" s="58"/>
      <c r="V8" s="58"/>
      <c r="W8" s="58"/>
      <c r="X8" s="58"/>
      <c r="Y8" s="58"/>
      <c r="Z8" s="58"/>
    </row>
    <row r="9" ht="22.5" customHeight="1">
      <c r="A9" s="59" t="s">
        <v>363</v>
      </c>
      <c r="B9" s="59" t="s">
        <v>507</v>
      </c>
      <c r="C9" s="59" t="s">
        <v>508</v>
      </c>
      <c r="D9" s="59" t="s">
        <v>509</v>
      </c>
      <c r="E9" s="58"/>
      <c r="F9" s="58"/>
      <c r="G9" s="58"/>
      <c r="H9" s="58"/>
      <c r="I9" s="58"/>
      <c r="J9" s="58"/>
      <c r="K9" s="58"/>
      <c r="L9" s="58"/>
      <c r="M9" s="58"/>
      <c r="N9" s="58"/>
      <c r="O9" s="58"/>
      <c r="P9" s="58"/>
      <c r="Q9" s="58"/>
      <c r="R9" s="58"/>
      <c r="S9" s="58"/>
      <c r="T9" s="58"/>
      <c r="U9" s="58"/>
      <c r="V9" s="58"/>
      <c r="W9" s="58"/>
      <c r="X9" s="58"/>
      <c r="Y9" s="58"/>
      <c r="Z9" s="58"/>
    </row>
    <row r="10" ht="22.5" customHeight="1">
      <c r="A10" s="59" t="s">
        <v>510</v>
      </c>
      <c r="B10" s="59" t="s">
        <v>511</v>
      </c>
      <c r="C10" s="59" t="s">
        <v>512</v>
      </c>
      <c r="D10" s="59" t="s">
        <v>513</v>
      </c>
      <c r="E10" s="58"/>
      <c r="F10" s="58"/>
      <c r="G10" s="58"/>
      <c r="H10" s="58"/>
      <c r="I10" s="58"/>
      <c r="J10" s="58"/>
      <c r="K10" s="58"/>
      <c r="L10" s="58"/>
      <c r="M10" s="58"/>
      <c r="N10" s="58"/>
      <c r="O10" s="58"/>
      <c r="P10" s="58"/>
      <c r="Q10" s="58"/>
      <c r="R10" s="58"/>
      <c r="S10" s="58"/>
      <c r="T10" s="58"/>
      <c r="U10" s="58"/>
      <c r="V10" s="58"/>
      <c r="W10" s="58"/>
      <c r="X10" s="58"/>
      <c r="Y10" s="58"/>
      <c r="Z10" s="58"/>
    </row>
    <row r="11" ht="22.5" customHeight="1">
      <c r="A11" s="61"/>
      <c r="B11" s="61"/>
      <c r="C11" s="61"/>
      <c r="D11" s="61"/>
      <c r="E11" s="58"/>
      <c r="F11" s="58"/>
      <c r="G11" s="58"/>
      <c r="H11" s="58"/>
      <c r="I11" s="58"/>
      <c r="J11" s="58"/>
      <c r="K11" s="58"/>
      <c r="L11" s="58"/>
      <c r="M11" s="58"/>
      <c r="N11" s="58"/>
      <c r="O11" s="58"/>
      <c r="P11" s="58"/>
      <c r="Q11" s="58"/>
      <c r="R11" s="58"/>
      <c r="S11" s="58"/>
      <c r="T11" s="58"/>
      <c r="U11" s="58"/>
      <c r="V11" s="58"/>
      <c r="W11" s="58"/>
      <c r="X11" s="58"/>
      <c r="Y11" s="58"/>
      <c r="Z11" s="5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5.75"/>
    <col customWidth="1" min="3" max="3" width="13.5"/>
    <col customWidth="1" min="4" max="4" width="14.38"/>
    <col customWidth="1" min="5" max="5" width="20.0"/>
    <col customWidth="1" min="6" max="6" width="11.5"/>
    <col customWidth="1" min="7" max="7" width="26.13"/>
  </cols>
  <sheetData>
    <row r="1" ht="22.5" customHeight="1">
      <c r="A1" s="2" t="s">
        <v>203</v>
      </c>
      <c r="B1" s="1" t="s">
        <v>0</v>
      </c>
      <c r="C1" s="1" t="s">
        <v>514</v>
      </c>
      <c r="D1" s="1" t="s">
        <v>163</v>
      </c>
      <c r="E1" s="1" t="s">
        <v>515</v>
      </c>
      <c r="F1" s="1" t="s">
        <v>516</v>
      </c>
      <c r="G1" s="1" t="s">
        <v>36</v>
      </c>
    </row>
    <row r="2" ht="22.5" customHeight="1">
      <c r="A2" s="62">
        <v>2025.0</v>
      </c>
      <c r="B2" s="11" t="s">
        <v>51</v>
      </c>
      <c r="C2" s="11" t="s">
        <v>217</v>
      </c>
      <c r="D2" s="10" t="s">
        <v>221</v>
      </c>
      <c r="E2" s="63">
        <v>46035.63551891204</v>
      </c>
      <c r="F2" s="11">
        <v>25.0</v>
      </c>
      <c r="G2" s="56" t="str">
        <f t="array" ref="G2:G112">IF(ISBLANK(B2:B112), , IFERROR(VLOOKUP(B2:B112, Students!A2:C112, 3, FALSE), "Not Found"))</f>
        <v>Oeng Chamroeunreasey</v>
      </c>
    </row>
    <row r="3" ht="22.5" customHeight="1">
      <c r="A3" s="62">
        <v>2025.0</v>
      </c>
      <c r="B3" s="11" t="s">
        <v>51</v>
      </c>
      <c r="C3" s="11" t="s">
        <v>216</v>
      </c>
      <c r="D3" s="10" t="s">
        <v>221</v>
      </c>
      <c r="E3" s="63">
        <v>46035.63553622685</v>
      </c>
      <c r="F3" s="11">
        <v>25.0</v>
      </c>
      <c r="G3" s="56" t="s">
        <v>52</v>
      </c>
    </row>
    <row r="4" ht="22.5" customHeight="1">
      <c r="A4" s="62">
        <v>2026.0</v>
      </c>
      <c r="B4" s="11" t="s">
        <v>51</v>
      </c>
      <c r="C4" s="11" t="s">
        <v>206</v>
      </c>
      <c r="D4" s="10" t="s">
        <v>221</v>
      </c>
      <c r="E4" s="63">
        <v>46035.63628841435</v>
      </c>
      <c r="F4" s="11">
        <v>25.0</v>
      </c>
      <c r="G4" s="8" t="s">
        <v>52</v>
      </c>
    </row>
    <row r="5" ht="22.5" customHeight="1">
      <c r="A5" s="62">
        <v>2025.0</v>
      </c>
      <c r="B5" s="11" t="s">
        <v>58</v>
      </c>
      <c r="C5" s="11" t="s">
        <v>217</v>
      </c>
      <c r="D5" s="10" t="s">
        <v>221</v>
      </c>
      <c r="E5" s="63">
        <v>46035.63987658564</v>
      </c>
      <c r="F5" s="11">
        <v>20.0</v>
      </c>
      <c r="G5" s="10" t="s">
        <v>59</v>
      </c>
    </row>
    <row r="6" ht="22.5" customHeight="1">
      <c r="A6" s="62">
        <v>2025.0</v>
      </c>
      <c r="B6" s="11" t="s">
        <v>115</v>
      </c>
      <c r="C6" s="11" t="s">
        <v>217</v>
      </c>
      <c r="D6" s="10" t="s">
        <v>221</v>
      </c>
      <c r="E6" s="63">
        <v>46035.64009434028</v>
      </c>
      <c r="F6" s="11">
        <v>25.0</v>
      </c>
      <c r="G6" s="10" t="s">
        <v>117</v>
      </c>
    </row>
    <row r="7" ht="22.5" customHeight="1">
      <c r="A7" s="62">
        <v>2025.0</v>
      </c>
      <c r="B7" s="11" t="s">
        <v>118</v>
      </c>
      <c r="C7" s="11" t="s">
        <v>217</v>
      </c>
      <c r="D7" s="10" t="s">
        <v>221</v>
      </c>
      <c r="E7" s="63">
        <v>46035.64010596064</v>
      </c>
      <c r="F7" s="11">
        <v>25.0</v>
      </c>
      <c r="G7" s="10" t="s">
        <v>119</v>
      </c>
    </row>
    <row r="8" ht="22.5" customHeight="1">
      <c r="A8" s="62">
        <v>2025.0</v>
      </c>
      <c r="B8" s="11" t="s">
        <v>85</v>
      </c>
      <c r="C8" s="11" t="s">
        <v>217</v>
      </c>
      <c r="D8" s="10" t="s">
        <v>221</v>
      </c>
      <c r="E8" s="63">
        <v>46035.64151230324</v>
      </c>
      <c r="F8" s="11">
        <v>25.0</v>
      </c>
      <c r="G8" s="10" t="s">
        <v>86</v>
      </c>
    </row>
    <row r="9" ht="22.5" customHeight="1">
      <c r="A9" s="62">
        <v>2025.0</v>
      </c>
      <c r="B9" s="11" t="s">
        <v>70</v>
      </c>
      <c r="C9" s="11" t="s">
        <v>217</v>
      </c>
      <c r="D9" s="10" t="s">
        <v>221</v>
      </c>
      <c r="E9" s="63">
        <v>46035.64155689815</v>
      </c>
      <c r="F9" s="11">
        <v>25.0</v>
      </c>
      <c r="G9" s="10" t="s">
        <v>71</v>
      </c>
    </row>
    <row r="10" ht="22.5" customHeight="1">
      <c r="A10" s="62">
        <v>2025.0</v>
      </c>
      <c r="B10" s="11" t="s">
        <v>92</v>
      </c>
      <c r="C10" s="11" t="s">
        <v>217</v>
      </c>
      <c r="D10" s="10" t="s">
        <v>221</v>
      </c>
      <c r="E10" s="63">
        <v>46035.641629722224</v>
      </c>
      <c r="F10" s="11">
        <v>25.0</v>
      </c>
      <c r="G10" s="10" t="s">
        <v>93</v>
      </c>
    </row>
    <row r="11" ht="22.5" customHeight="1">
      <c r="A11" s="62">
        <v>2025.0</v>
      </c>
      <c r="B11" s="11" t="s">
        <v>90</v>
      </c>
      <c r="C11" s="11" t="s">
        <v>217</v>
      </c>
      <c r="D11" s="10" t="s">
        <v>221</v>
      </c>
      <c r="E11" s="63">
        <v>46035.64163686342</v>
      </c>
      <c r="F11" s="11">
        <v>25.0</v>
      </c>
      <c r="G11" s="10" t="s">
        <v>91</v>
      </c>
    </row>
    <row r="12" ht="22.5" customHeight="1">
      <c r="A12" s="62">
        <v>2025.0</v>
      </c>
      <c r="B12" s="11" t="s">
        <v>94</v>
      </c>
      <c r="C12" s="11" t="s">
        <v>217</v>
      </c>
      <c r="D12" s="10" t="s">
        <v>221</v>
      </c>
      <c r="E12" s="63">
        <v>46035.64167182871</v>
      </c>
      <c r="F12" s="11">
        <v>25.0</v>
      </c>
      <c r="G12" s="10" t="s">
        <v>95</v>
      </c>
    </row>
    <row r="13" ht="22.5" customHeight="1">
      <c r="A13" s="62">
        <v>2025.0</v>
      </c>
      <c r="B13" s="11" t="s">
        <v>120</v>
      </c>
      <c r="C13" s="11" t="s">
        <v>217</v>
      </c>
      <c r="D13" s="10" t="s">
        <v>221</v>
      </c>
      <c r="E13" s="63">
        <v>46035.64169599537</v>
      </c>
      <c r="F13" s="11">
        <v>25.0</v>
      </c>
      <c r="G13" s="10" t="s">
        <v>121</v>
      </c>
    </row>
    <row r="14" ht="22.5" customHeight="1">
      <c r="A14" s="62">
        <v>2025.0</v>
      </c>
      <c r="B14" s="11" t="s">
        <v>109</v>
      </c>
      <c r="C14" s="11" t="s">
        <v>217</v>
      </c>
      <c r="D14" s="10" t="s">
        <v>221</v>
      </c>
      <c r="E14" s="63">
        <v>46035.641725891204</v>
      </c>
      <c r="F14" s="11">
        <v>25.0</v>
      </c>
      <c r="G14" s="10" t="s">
        <v>110</v>
      </c>
    </row>
    <row r="15" ht="22.5" customHeight="1">
      <c r="A15" s="62">
        <v>2025.0</v>
      </c>
      <c r="B15" s="11" t="s">
        <v>111</v>
      </c>
      <c r="C15" s="11" t="s">
        <v>217</v>
      </c>
      <c r="D15" s="10" t="s">
        <v>221</v>
      </c>
      <c r="E15" s="63">
        <v>46035.6417305787</v>
      </c>
      <c r="F15" s="11">
        <v>25.0</v>
      </c>
      <c r="G15" s="10" t="s">
        <v>112</v>
      </c>
    </row>
    <row r="16" ht="22.5" customHeight="1">
      <c r="A16" s="62">
        <v>2025.0</v>
      </c>
      <c r="B16" s="11" t="s">
        <v>122</v>
      </c>
      <c r="C16" s="11" t="s">
        <v>217</v>
      </c>
      <c r="D16" s="10" t="s">
        <v>221</v>
      </c>
      <c r="E16" s="63">
        <v>46035.64174643518</v>
      </c>
      <c r="F16" s="11">
        <v>25.0</v>
      </c>
      <c r="G16" s="10" t="s">
        <v>123</v>
      </c>
    </row>
    <row r="17" ht="22.5" customHeight="1">
      <c r="A17" s="62">
        <v>2025.0</v>
      </c>
      <c r="B17" s="11" t="s">
        <v>107</v>
      </c>
      <c r="C17" s="11" t="s">
        <v>217</v>
      </c>
      <c r="D17" s="10" t="s">
        <v>221</v>
      </c>
      <c r="E17" s="63">
        <v>46035.64174825231</v>
      </c>
      <c r="F17" s="11">
        <v>25.0</v>
      </c>
      <c r="G17" s="10" t="s">
        <v>247</v>
      </c>
    </row>
    <row r="18" ht="22.5" customHeight="1">
      <c r="A18" s="62">
        <v>2025.0</v>
      </c>
      <c r="B18" s="11" t="s">
        <v>124</v>
      </c>
      <c r="C18" s="11" t="s">
        <v>217</v>
      </c>
      <c r="D18" s="10" t="s">
        <v>221</v>
      </c>
      <c r="E18" s="63">
        <v>46035.641784884254</v>
      </c>
      <c r="F18" s="11">
        <v>25.0</v>
      </c>
      <c r="G18" s="10" t="s">
        <v>125</v>
      </c>
    </row>
    <row r="19" ht="22.5" customHeight="1">
      <c r="A19" s="62">
        <v>2025.0</v>
      </c>
      <c r="B19" s="11" t="s">
        <v>113</v>
      </c>
      <c r="C19" s="11" t="s">
        <v>217</v>
      </c>
      <c r="D19" s="10" t="s">
        <v>221</v>
      </c>
      <c r="E19" s="63">
        <v>46035.641818020835</v>
      </c>
      <c r="F19" s="11">
        <v>25.0</v>
      </c>
      <c r="G19" s="10" t="s">
        <v>114</v>
      </c>
    </row>
    <row r="20" ht="22.5" customHeight="1">
      <c r="A20" s="62">
        <v>2025.0</v>
      </c>
      <c r="B20" s="11" t="s">
        <v>126</v>
      </c>
      <c r="C20" s="11" t="s">
        <v>217</v>
      </c>
      <c r="D20" s="10" t="s">
        <v>221</v>
      </c>
      <c r="E20" s="63">
        <v>46035.641843854166</v>
      </c>
      <c r="F20" s="11">
        <v>25.0</v>
      </c>
      <c r="G20" s="8" t="s">
        <v>127</v>
      </c>
    </row>
    <row r="21" ht="22.5" customHeight="1">
      <c r="A21" s="62">
        <v>2025.0</v>
      </c>
      <c r="B21" s="11" t="s">
        <v>74</v>
      </c>
      <c r="C21" s="11" t="s">
        <v>217</v>
      </c>
      <c r="D21" s="10" t="s">
        <v>221</v>
      </c>
      <c r="E21" s="63">
        <v>46035.64185894676</v>
      </c>
      <c r="F21" s="11">
        <v>25.0</v>
      </c>
      <c r="G21" s="8" t="s">
        <v>75</v>
      </c>
    </row>
    <row r="22" ht="22.5" customHeight="1">
      <c r="A22" s="62">
        <v>2025.0</v>
      </c>
      <c r="B22" s="11" t="s">
        <v>138</v>
      </c>
      <c r="C22" s="11" t="s">
        <v>217</v>
      </c>
      <c r="D22" s="10" t="s">
        <v>221</v>
      </c>
      <c r="E22" s="63">
        <v>46035.64191015046</v>
      </c>
      <c r="F22" s="11">
        <v>25.0</v>
      </c>
      <c r="G22" s="8" t="s">
        <v>139</v>
      </c>
    </row>
    <row r="23" ht="22.5" customHeight="1">
      <c r="A23" s="62">
        <v>2025.0</v>
      </c>
      <c r="B23" s="11" t="s">
        <v>140</v>
      </c>
      <c r="C23" s="11" t="s">
        <v>217</v>
      </c>
      <c r="D23" s="10" t="s">
        <v>221</v>
      </c>
      <c r="E23" s="63">
        <v>46035.64193762731</v>
      </c>
      <c r="F23" s="11">
        <v>25.0</v>
      </c>
      <c r="G23" s="8" t="s">
        <v>141</v>
      </c>
    </row>
    <row r="24" ht="22.5" customHeight="1">
      <c r="A24" s="62">
        <v>2025.0</v>
      </c>
      <c r="B24" s="11" t="s">
        <v>124</v>
      </c>
      <c r="C24" s="11" t="s">
        <v>216</v>
      </c>
      <c r="D24" s="10" t="s">
        <v>221</v>
      </c>
      <c r="E24" s="63">
        <v>46035.6420380787</v>
      </c>
      <c r="F24" s="11">
        <v>25.0</v>
      </c>
      <c r="G24" s="8" t="s">
        <v>125</v>
      </c>
    </row>
    <row r="25" ht="22.5" customHeight="1">
      <c r="A25" s="62">
        <v>2025.0</v>
      </c>
      <c r="B25" s="11" t="s">
        <v>107</v>
      </c>
      <c r="C25" s="11" t="s">
        <v>216</v>
      </c>
      <c r="D25" s="10" t="s">
        <v>221</v>
      </c>
      <c r="E25" s="63">
        <v>46035.6420575</v>
      </c>
      <c r="F25" s="11">
        <v>25.0</v>
      </c>
      <c r="G25" s="8" t="s">
        <v>247</v>
      </c>
    </row>
    <row r="26" ht="22.5" customHeight="1">
      <c r="A26" s="62">
        <v>2025.0</v>
      </c>
      <c r="B26" s="11" t="s">
        <v>122</v>
      </c>
      <c r="C26" s="11" t="s">
        <v>216</v>
      </c>
      <c r="D26" s="10" t="s">
        <v>221</v>
      </c>
      <c r="E26" s="63">
        <v>46035.64207016204</v>
      </c>
      <c r="F26" s="11">
        <v>25.0</v>
      </c>
      <c r="G26" s="8" t="s">
        <v>123</v>
      </c>
    </row>
    <row r="27" ht="22.5" customHeight="1">
      <c r="A27" s="62">
        <v>2025.0</v>
      </c>
      <c r="B27" s="11" t="s">
        <v>120</v>
      </c>
      <c r="C27" s="11" t="s">
        <v>216</v>
      </c>
      <c r="D27" s="10" t="s">
        <v>221</v>
      </c>
      <c r="E27" s="63">
        <v>46035.64211006944</v>
      </c>
      <c r="F27" s="11">
        <v>25.0</v>
      </c>
      <c r="G27" s="8" t="s">
        <v>121</v>
      </c>
    </row>
    <row r="28" ht="22.5" customHeight="1">
      <c r="A28" s="62">
        <v>2025.0</v>
      </c>
      <c r="B28" s="11" t="s">
        <v>92</v>
      </c>
      <c r="C28" s="11" t="s">
        <v>216</v>
      </c>
      <c r="D28" s="10" t="s">
        <v>221</v>
      </c>
      <c r="E28" s="63">
        <v>46035.64216689815</v>
      </c>
      <c r="F28" s="11">
        <v>25.0</v>
      </c>
      <c r="G28" s="8" t="s">
        <v>93</v>
      </c>
    </row>
    <row r="29" ht="22.5" customHeight="1">
      <c r="A29" s="62">
        <v>2025.0</v>
      </c>
      <c r="B29" s="11" t="s">
        <v>90</v>
      </c>
      <c r="C29" s="11" t="s">
        <v>216</v>
      </c>
      <c r="D29" s="10" t="s">
        <v>221</v>
      </c>
      <c r="E29" s="63">
        <v>46035.642173078704</v>
      </c>
      <c r="F29" s="11">
        <v>25.0</v>
      </c>
      <c r="G29" s="8" t="s">
        <v>91</v>
      </c>
    </row>
    <row r="30" ht="22.5" customHeight="1">
      <c r="A30" s="62">
        <v>2025.0</v>
      </c>
      <c r="B30" s="11" t="s">
        <v>118</v>
      </c>
      <c r="C30" s="11" t="s">
        <v>216</v>
      </c>
      <c r="D30" s="10" t="s">
        <v>221</v>
      </c>
      <c r="E30" s="63">
        <v>46035.64218728009</v>
      </c>
      <c r="F30" s="11">
        <v>25.0</v>
      </c>
      <c r="G30" s="8" t="s">
        <v>119</v>
      </c>
    </row>
    <row r="31" ht="22.5" customHeight="1">
      <c r="A31" s="62">
        <v>2025.0</v>
      </c>
      <c r="B31" s="11" t="s">
        <v>115</v>
      </c>
      <c r="C31" s="11" t="s">
        <v>216</v>
      </c>
      <c r="D31" s="10" t="s">
        <v>221</v>
      </c>
      <c r="E31" s="63">
        <v>46035.642194942135</v>
      </c>
      <c r="F31" s="11">
        <v>25.0</v>
      </c>
      <c r="G31" s="8" t="s">
        <v>117</v>
      </c>
    </row>
    <row r="32" ht="22.5" customHeight="1">
      <c r="A32" s="62">
        <v>2025.0</v>
      </c>
      <c r="B32" s="11" t="s">
        <v>70</v>
      </c>
      <c r="C32" s="11" t="s">
        <v>216</v>
      </c>
      <c r="D32" s="10" t="s">
        <v>221</v>
      </c>
      <c r="E32" s="63">
        <v>46035.64223671296</v>
      </c>
      <c r="F32" s="11">
        <v>25.0</v>
      </c>
      <c r="G32" s="8" t="s">
        <v>71</v>
      </c>
    </row>
    <row r="33" ht="22.5" customHeight="1">
      <c r="A33" s="62">
        <v>2025.0</v>
      </c>
      <c r="B33" s="11" t="s">
        <v>88</v>
      </c>
      <c r="C33" s="11" t="s">
        <v>216</v>
      </c>
      <c r="D33" s="10" t="s">
        <v>221</v>
      </c>
      <c r="E33" s="63">
        <v>46035.64227460648</v>
      </c>
      <c r="F33" s="11">
        <v>25.0</v>
      </c>
      <c r="G33" s="8" t="s">
        <v>89</v>
      </c>
    </row>
    <row r="34" ht="22.5" customHeight="1">
      <c r="A34" s="62">
        <v>2025.0</v>
      </c>
      <c r="B34" s="11" t="s">
        <v>58</v>
      </c>
      <c r="C34" s="11" t="s">
        <v>216</v>
      </c>
      <c r="D34" s="10" t="s">
        <v>221</v>
      </c>
      <c r="E34" s="63">
        <v>46035.6423162037</v>
      </c>
      <c r="F34" s="11">
        <v>20.0</v>
      </c>
      <c r="G34" s="8" t="s">
        <v>59</v>
      </c>
    </row>
    <row r="35" ht="22.5" customHeight="1">
      <c r="A35" s="62">
        <v>2025.0</v>
      </c>
      <c r="B35" s="11" t="s">
        <v>85</v>
      </c>
      <c r="C35" s="11" t="s">
        <v>216</v>
      </c>
      <c r="D35" s="10" t="s">
        <v>221</v>
      </c>
      <c r="E35" s="63">
        <v>46035.64237113426</v>
      </c>
      <c r="F35" s="11">
        <v>25.0</v>
      </c>
      <c r="G35" s="8" t="s">
        <v>86</v>
      </c>
    </row>
    <row r="36" ht="22.5" customHeight="1">
      <c r="A36" s="62">
        <v>2025.0</v>
      </c>
      <c r="B36" s="11" t="s">
        <v>51</v>
      </c>
      <c r="C36" s="11" t="s">
        <v>215</v>
      </c>
      <c r="D36" s="10" t="s">
        <v>221</v>
      </c>
      <c r="E36" s="63">
        <v>46035.6424049537</v>
      </c>
      <c r="F36" s="11">
        <v>25.0</v>
      </c>
      <c r="G36" s="8" t="s">
        <v>52</v>
      </c>
    </row>
    <row r="37" ht="22.5" customHeight="1">
      <c r="A37" s="62">
        <v>2025.0</v>
      </c>
      <c r="B37" s="11" t="s">
        <v>85</v>
      </c>
      <c r="C37" s="11" t="s">
        <v>215</v>
      </c>
      <c r="D37" s="10" t="s">
        <v>221</v>
      </c>
      <c r="E37" s="63">
        <v>46035.642516203705</v>
      </c>
      <c r="F37" s="11">
        <v>25.0</v>
      </c>
      <c r="G37" s="8" t="s">
        <v>86</v>
      </c>
    </row>
    <row r="38" ht="22.5" customHeight="1">
      <c r="A38" s="62">
        <v>2025.0</v>
      </c>
      <c r="B38" s="11" t="s">
        <v>201</v>
      </c>
      <c r="C38" s="11" t="s">
        <v>215</v>
      </c>
      <c r="D38" s="10" t="s">
        <v>221</v>
      </c>
      <c r="E38" s="63">
        <v>46035.64256738426</v>
      </c>
      <c r="F38" s="11">
        <v>25.0</v>
      </c>
      <c r="G38" s="8" t="s">
        <v>202</v>
      </c>
    </row>
    <row r="39" ht="22.5" customHeight="1">
      <c r="A39" s="62">
        <v>2025.0</v>
      </c>
      <c r="B39" s="11" t="s">
        <v>58</v>
      </c>
      <c r="C39" s="11" t="s">
        <v>215</v>
      </c>
      <c r="D39" s="10" t="s">
        <v>221</v>
      </c>
      <c r="E39" s="63">
        <v>46035.64257827547</v>
      </c>
      <c r="F39" s="11">
        <v>20.0</v>
      </c>
      <c r="G39" s="8" t="s">
        <v>59</v>
      </c>
    </row>
    <row r="40" ht="22.5" customHeight="1">
      <c r="A40" s="62">
        <v>2026.0</v>
      </c>
      <c r="B40" s="11" t="s">
        <v>113</v>
      </c>
      <c r="C40" s="11" t="s">
        <v>206</v>
      </c>
      <c r="D40" s="10" t="s">
        <v>221</v>
      </c>
      <c r="E40" s="63">
        <v>46035.643509733796</v>
      </c>
      <c r="F40" s="11">
        <v>25.0</v>
      </c>
      <c r="G40" s="8" t="s">
        <v>114</v>
      </c>
    </row>
    <row r="41" ht="22.5" customHeight="1">
      <c r="A41" s="62">
        <v>2026.0</v>
      </c>
      <c r="B41" s="11" t="s">
        <v>130</v>
      </c>
      <c r="C41" s="11" t="s">
        <v>206</v>
      </c>
      <c r="D41" s="10" t="s">
        <v>221</v>
      </c>
      <c r="E41" s="63">
        <v>46035.64357018519</v>
      </c>
      <c r="F41" s="11">
        <v>25.0</v>
      </c>
      <c r="G41" s="8" t="s">
        <v>131</v>
      </c>
    </row>
    <row r="42" ht="22.5" customHeight="1">
      <c r="A42" s="62">
        <v>2026.0</v>
      </c>
      <c r="B42" s="11" t="s">
        <v>132</v>
      </c>
      <c r="C42" s="11" t="s">
        <v>206</v>
      </c>
      <c r="D42" s="10" t="s">
        <v>221</v>
      </c>
      <c r="E42" s="63">
        <v>46035.643583530094</v>
      </c>
      <c r="F42" s="11">
        <v>25.0</v>
      </c>
      <c r="G42" s="8" t="s">
        <v>133</v>
      </c>
    </row>
    <row r="43" ht="22.5" customHeight="1">
      <c r="A43" s="62">
        <v>2026.0</v>
      </c>
      <c r="B43" s="11" t="s">
        <v>134</v>
      </c>
      <c r="C43" s="11" t="s">
        <v>206</v>
      </c>
      <c r="D43" s="10" t="s">
        <v>221</v>
      </c>
      <c r="E43" s="63">
        <v>46035.64359040509</v>
      </c>
      <c r="F43" s="11">
        <v>25.0</v>
      </c>
      <c r="G43" s="8" t="s">
        <v>135</v>
      </c>
    </row>
    <row r="44" ht="22.5" customHeight="1">
      <c r="A44" s="62">
        <v>2026.0</v>
      </c>
      <c r="B44" s="11" t="s">
        <v>136</v>
      </c>
      <c r="C44" s="11" t="s">
        <v>206</v>
      </c>
      <c r="D44" s="10" t="s">
        <v>221</v>
      </c>
      <c r="E44" s="63">
        <v>46035.64361770834</v>
      </c>
      <c r="F44" s="11">
        <v>25.0</v>
      </c>
      <c r="G44" s="8" t="s">
        <v>137</v>
      </c>
    </row>
    <row r="45" ht="22.5" customHeight="1">
      <c r="A45" s="62">
        <v>2026.0</v>
      </c>
      <c r="B45" s="11" t="s">
        <v>148</v>
      </c>
      <c r="C45" s="11" t="s">
        <v>206</v>
      </c>
      <c r="D45" s="10" t="s">
        <v>221</v>
      </c>
      <c r="E45" s="63">
        <v>46035.643630798615</v>
      </c>
      <c r="F45" s="11">
        <v>25.0</v>
      </c>
      <c r="G45" s="8" t="s">
        <v>149</v>
      </c>
    </row>
    <row r="46" ht="22.5" customHeight="1">
      <c r="A46" s="62">
        <v>2026.0</v>
      </c>
      <c r="B46" s="11" t="s">
        <v>115</v>
      </c>
      <c r="C46" s="11" t="s">
        <v>206</v>
      </c>
      <c r="D46" s="10" t="s">
        <v>221</v>
      </c>
      <c r="E46" s="63">
        <v>46035.66396304398</v>
      </c>
      <c r="F46" s="11">
        <v>25.0</v>
      </c>
      <c r="G46" s="8" t="s">
        <v>117</v>
      </c>
    </row>
    <row r="47" ht="22.5" customHeight="1">
      <c r="A47" s="62">
        <v>2026.0</v>
      </c>
      <c r="B47" s="11" t="s">
        <v>126</v>
      </c>
      <c r="C47" s="11" t="s">
        <v>206</v>
      </c>
      <c r="D47" s="10" t="s">
        <v>221</v>
      </c>
      <c r="E47" s="63">
        <v>46036.67015582176</v>
      </c>
      <c r="F47" s="11">
        <v>25.0</v>
      </c>
      <c r="G47" s="8" t="s">
        <v>127</v>
      </c>
    </row>
    <row r="48" ht="22.5" customHeight="1">
      <c r="A48" s="52"/>
      <c r="B48" s="7"/>
      <c r="C48" s="15"/>
      <c r="D48" s="8"/>
      <c r="E48" s="7"/>
      <c r="F48" s="7"/>
      <c r="G48" s="8"/>
    </row>
    <row r="49" ht="22.5" customHeight="1">
      <c r="A49" s="52"/>
      <c r="B49" s="7"/>
      <c r="C49" s="15"/>
      <c r="D49" s="8"/>
      <c r="E49" s="7"/>
      <c r="F49" s="7"/>
      <c r="G49" s="8"/>
    </row>
    <row r="50" ht="22.5" customHeight="1">
      <c r="A50" s="52"/>
      <c r="B50" s="7"/>
      <c r="C50" s="15"/>
      <c r="D50" s="8"/>
      <c r="E50" s="7"/>
      <c r="F50" s="7"/>
      <c r="G50" s="8"/>
    </row>
    <row r="51" ht="22.5" customHeight="1">
      <c r="A51" s="52"/>
      <c r="B51" s="7"/>
      <c r="C51" s="15"/>
      <c r="D51" s="8"/>
      <c r="E51" s="7"/>
      <c r="F51" s="7"/>
      <c r="G51" s="8"/>
    </row>
    <row r="52" ht="22.5" customHeight="1">
      <c r="A52" s="52"/>
      <c r="B52" s="7"/>
      <c r="C52" s="15"/>
      <c r="D52" s="8"/>
      <c r="E52" s="7"/>
      <c r="F52" s="7"/>
      <c r="G52" s="8"/>
    </row>
    <row r="53" ht="22.5" customHeight="1">
      <c r="A53" s="52"/>
      <c r="B53" s="7"/>
      <c r="C53" s="15"/>
      <c r="D53" s="8"/>
      <c r="E53" s="7"/>
      <c r="F53" s="7"/>
      <c r="G53" s="8"/>
    </row>
    <row r="54" ht="22.5" customHeight="1">
      <c r="A54" s="52"/>
      <c r="B54" s="7"/>
      <c r="C54" s="15"/>
      <c r="D54" s="8"/>
      <c r="E54" s="7"/>
      <c r="F54" s="7"/>
      <c r="G54" s="8"/>
    </row>
    <row r="55" ht="22.5" customHeight="1">
      <c r="A55" s="52"/>
      <c r="B55" s="7"/>
      <c r="C55" s="15"/>
      <c r="D55" s="8"/>
      <c r="E55" s="7"/>
      <c r="F55" s="7"/>
      <c r="G55" s="8"/>
    </row>
    <row r="56" ht="22.5" customHeight="1">
      <c r="A56" s="52"/>
      <c r="B56" s="7"/>
      <c r="C56" s="15"/>
      <c r="D56" s="8"/>
      <c r="E56" s="7"/>
      <c r="F56" s="7"/>
      <c r="G56" s="8"/>
    </row>
    <row r="57" ht="22.5" customHeight="1">
      <c r="A57" s="52"/>
      <c r="B57" s="7"/>
      <c r="C57" s="15"/>
      <c r="D57" s="8"/>
      <c r="E57" s="7"/>
      <c r="F57" s="7"/>
      <c r="G57" s="8"/>
    </row>
    <row r="58" ht="22.5" customHeight="1">
      <c r="A58" s="52"/>
      <c r="B58" s="7"/>
      <c r="C58" s="15"/>
      <c r="D58" s="8"/>
      <c r="E58" s="7"/>
      <c r="F58" s="7"/>
      <c r="G58" s="8"/>
    </row>
    <row r="59" ht="22.5" customHeight="1">
      <c r="A59" s="52"/>
      <c r="B59" s="7"/>
      <c r="C59" s="15"/>
      <c r="D59" s="8"/>
      <c r="E59" s="7"/>
      <c r="F59" s="7"/>
      <c r="G59" s="8"/>
    </row>
    <row r="60" ht="22.5" customHeight="1">
      <c r="A60" s="52"/>
      <c r="B60" s="7"/>
      <c r="C60" s="15"/>
      <c r="D60" s="8"/>
      <c r="E60" s="7"/>
      <c r="F60" s="7"/>
      <c r="G60" s="8"/>
    </row>
    <row r="61" ht="22.5" customHeight="1">
      <c r="A61" s="52"/>
      <c r="B61" s="7"/>
      <c r="C61" s="15"/>
      <c r="D61" s="8"/>
      <c r="E61" s="7"/>
      <c r="F61" s="7"/>
      <c r="G61" s="8"/>
    </row>
    <row r="62" ht="22.5" customHeight="1">
      <c r="A62" s="52"/>
      <c r="B62" s="7"/>
      <c r="C62" s="15"/>
      <c r="D62" s="8"/>
      <c r="E62" s="7"/>
      <c r="F62" s="7"/>
      <c r="G62" s="8"/>
    </row>
    <row r="63" ht="22.5" customHeight="1">
      <c r="A63" s="52"/>
      <c r="B63" s="7"/>
      <c r="C63" s="15"/>
      <c r="D63" s="8"/>
      <c r="E63" s="7"/>
      <c r="F63" s="7"/>
      <c r="G63" s="8"/>
    </row>
    <row r="64" ht="22.5" customHeight="1">
      <c r="A64" s="52"/>
      <c r="B64" s="7"/>
      <c r="C64" s="15"/>
      <c r="D64" s="8"/>
      <c r="E64" s="7"/>
      <c r="F64" s="7"/>
      <c r="G64" s="8"/>
    </row>
    <row r="65" ht="22.5" customHeight="1">
      <c r="A65" s="52"/>
      <c r="B65" s="7"/>
      <c r="C65" s="15"/>
      <c r="D65" s="8"/>
      <c r="E65" s="7"/>
      <c r="F65" s="7"/>
      <c r="G65" s="8"/>
    </row>
    <row r="66" ht="22.5" customHeight="1">
      <c r="A66" s="52"/>
      <c r="B66" s="7"/>
      <c r="C66" s="15"/>
      <c r="D66" s="8"/>
      <c r="E66" s="7"/>
      <c r="F66" s="7"/>
      <c r="G66" s="8"/>
    </row>
    <row r="67" ht="22.5" customHeight="1">
      <c r="A67" s="52"/>
      <c r="B67" s="7"/>
      <c r="C67" s="15"/>
      <c r="D67" s="8"/>
      <c r="E67" s="7"/>
      <c r="F67" s="7"/>
      <c r="G67" s="8"/>
    </row>
    <row r="68" ht="22.5" customHeight="1">
      <c r="A68" s="52"/>
      <c r="B68" s="7"/>
      <c r="C68" s="15"/>
      <c r="D68" s="8"/>
      <c r="E68" s="7"/>
      <c r="F68" s="7"/>
      <c r="G68" s="8"/>
    </row>
    <row r="69" ht="22.5" customHeight="1">
      <c r="A69" s="52"/>
      <c r="B69" s="7"/>
      <c r="C69" s="15"/>
      <c r="D69" s="8"/>
      <c r="E69" s="7"/>
      <c r="F69" s="7"/>
      <c r="G69" s="8"/>
    </row>
    <row r="70" ht="22.5" customHeight="1">
      <c r="A70" s="52"/>
      <c r="B70" s="7"/>
      <c r="C70" s="15"/>
      <c r="D70" s="8"/>
      <c r="E70" s="7"/>
      <c r="F70" s="7"/>
      <c r="G70" s="8"/>
    </row>
    <row r="71" ht="22.5" customHeight="1">
      <c r="A71" s="52"/>
      <c r="B71" s="7"/>
      <c r="C71" s="15"/>
      <c r="D71" s="8"/>
      <c r="E71" s="7"/>
      <c r="F71" s="7"/>
      <c r="G71" s="8"/>
    </row>
    <row r="72" ht="22.5" customHeight="1">
      <c r="A72" s="52"/>
      <c r="B72" s="7"/>
      <c r="C72" s="15"/>
      <c r="D72" s="8"/>
      <c r="E72" s="7"/>
      <c r="F72" s="7"/>
      <c r="G72" s="8"/>
    </row>
    <row r="73" ht="22.5" customHeight="1">
      <c r="A73" s="52"/>
      <c r="B73" s="7"/>
      <c r="C73" s="15"/>
      <c r="D73" s="8"/>
      <c r="E73" s="7"/>
      <c r="F73" s="7"/>
      <c r="G73" s="8"/>
    </row>
    <row r="74" ht="22.5" customHeight="1">
      <c r="A74" s="52"/>
      <c r="B74" s="7"/>
      <c r="C74" s="15"/>
      <c r="D74" s="8"/>
      <c r="E74" s="7"/>
      <c r="F74" s="7"/>
      <c r="G74" s="8"/>
    </row>
    <row r="75" ht="22.5" customHeight="1">
      <c r="A75" s="52"/>
      <c r="B75" s="7"/>
      <c r="C75" s="15"/>
      <c r="D75" s="8"/>
      <c r="E75" s="7"/>
      <c r="F75" s="7"/>
      <c r="G75" s="8"/>
    </row>
    <row r="76" ht="22.5" customHeight="1">
      <c r="A76" s="52"/>
      <c r="B76" s="7"/>
      <c r="C76" s="15"/>
      <c r="D76" s="8"/>
      <c r="E76" s="7"/>
      <c r="F76" s="7"/>
      <c r="G76" s="8"/>
    </row>
    <row r="77" ht="22.5" customHeight="1">
      <c r="A77" s="52"/>
      <c r="B77" s="7"/>
      <c r="C77" s="15"/>
      <c r="D77" s="8"/>
      <c r="E77" s="7"/>
      <c r="F77" s="7"/>
      <c r="G77" s="8"/>
    </row>
    <row r="78" ht="22.5" customHeight="1">
      <c r="A78" s="52"/>
      <c r="B78" s="7"/>
      <c r="C78" s="15"/>
      <c r="D78" s="8"/>
      <c r="E78" s="7"/>
      <c r="F78" s="7"/>
      <c r="G78" s="8"/>
    </row>
    <row r="79" ht="22.5" customHeight="1">
      <c r="A79" s="52"/>
      <c r="B79" s="7"/>
      <c r="C79" s="15"/>
      <c r="D79" s="8"/>
      <c r="E79" s="7"/>
      <c r="F79" s="7"/>
      <c r="G79" s="8"/>
    </row>
    <row r="80" ht="22.5" customHeight="1">
      <c r="A80" s="52"/>
      <c r="B80" s="7"/>
      <c r="C80" s="15"/>
      <c r="D80" s="8"/>
      <c r="E80" s="7"/>
      <c r="F80" s="7"/>
      <c r="G80" s="8"/>
    </row>
    <row r="81" ht="22.5" customHeight="1">
      <c r="A81" s="52"/>
      <c r="B81" s="7"/>
      <c r="C81" s="15"/>
      <c r="D81" s="8"/>
      <c r="E81" s="7"/>
      <c r="F81" s="7"/>
      <c r="G81" s="8"/>
    </row>
    <row r="82" ht="22.5" customHeight="1">
      <c r="A82" s="52"/>
      <c r="B82" s="7"/>
      <c r="C82" s="15"/>
      <c r="D82" s="8"/>
      <c r="E82" s="7"/>
      <c r="F82" s="7"/>
      <c r="G82" s="8"/>
    </row>
    <row r="83" ht="22.5" customHeight="1">
      <c r="A83" s="52"/>
      <c r="B83" s="7"/>
      <c r="C83" s="15"/>
      <c r="D83" s="8"/>
      <c r="E83" s="7"/>
      <c r="F83" s="7"/>
      <c r="G83" s="8"/>
    </row>
    <row r="84" ht="22.5" customHeight="1">
      <c r="A84" s="52"/>
      <c r="B84" s="7"/>
      <c r="C84" s="15"/>
      <c r="D84" s="8"/>
      <c r="E84" s="7"/>
      <c r="F84" s="7"/>
      <c r="G84" s="8"/>
    </row>
    <row r="85" ht="22.5" customHeight="1">
      <c r="A85" s="52"/>
      <c r="B85" s="7"/>
      <c r="C85" s="15"/>
      <c r="D85" s="8"/>
      <c r="E85" s="7"/>
      <c r="F85" s="7"/>
      <c r="G85" s="8"/>
    </row>
    <row r="86" ht="22.5" customHeight="1">
      <c r="A86" s="52"/>
      <c r="B86" s="7"/>
      <c r="C86" s="15"/>
      <c r="D86" s="8"/>
      <c r="E86" s="7"/>
      <c r="F86" s="7"/>
      <c r="G86" s="8"/>
    </row>
    <row r="87" ht="22.5" customHeight="1">
      <c r="A87" s="52"/>
      <c r="B87" s="7"/>
      <c r="C87" s="15"/>
      <c r="D87" s="8"/>
      <c r="E87" s="7"/>
      <c r="F87" s="7"/>
      <c r="G87" s="8"/>
    </row>
    <row r="88" ht="22.5" customHeight="1">
      <c r="A88" s="52"/>
      <c r="B88" s="7"/>
      <c r="C88" s="15"/>
      <c r="D88" s="8"/>
      <c r="E88" s="7"/>
      <c r="F88" s="7"/>
      <c r="G88" s="8"/>
    </row>
    <row r="89" ht="22.5" customHeight="1">
      <c r="A89" s="52"/>
      <c r="B89" s="7"/>
      <c r="C89" s="15"/>
      <c r="D89" s="8"/>
      <c r="E89" s="7"/>
      <c r="F89" s="7"/>
      <c r="G89" s="8"/>
    </row>
    <row r="90" ht="22.5" customHeight="1">
      <c r="A90" s="52"/>
      <c r="B90" s="7"/>
      <c r="C90" s="15"/>
      <c r="D90" s="8"/>
      <c r="E90" s="7"/>
      <c r="F90" s="7"/>
      <c r="G90" s="8"/>
    </row>
    <row r="91" ht="22.5" customHeight="1">
      <c r="A91" s="52"/>
      <c r="B91" s="7"/>
      <c r="C91" s="15"/>
      <c r="D91" s="8"/>
      <c r="E91" s="7"/>
      <c r="F91" s="7"/>
      <c r="G91" s="8"/>
    </row>
    <row r="92" ht="22.5" customHeight="1">
      <c r="A92" s="52"/>
      <c r="B92" s="7"/>
      <c r="C92" s="15"/>
      <c r="D92" s="8"/>
      <c r="E92" s="7"/>
      <c r="F92" s="7"/>
      <c r="G92" s="8"/>
    </row>
    <row r="93" ht="22.5" customHeight="1">
      <c r="A93" s="52"/>
      <c r="B93" s="7"/>
      <c r="C93" s="15"/>
      <c r="D93" s="8"/>
      <c r="E93" s="7"/>
      <c r="F93" s="7"/>
      <c r="G93" s="8"/>
    </row>
    <row r="94" ht="22.5" customHeight="1">
      <c r="A94" s="52"/>
      <c r="B94" s="7"/>
      <c r="C94" s="15"/>
      <c r="D94" s="8"/>
      <c r="E94" s="7"/>
      <c r="F94" s="7"/>
      <c r="G94" s="8"/>
    </row>
    <row r="95" ht="22.5" customHeight="1">
      <c r="A95" s="52"/>
      <c r="B95" s="7"/>
      <c r="C95" s="15"/>
      <c r="D95" s="8"/>
      <c r="E95" s="7"/>
      <c r="F95" s="7"/>
      <c r="G95" s="8"/>
    </row>
    <row r="96" ht="22.5" customHeight="1">
      <c r="A96" s="52"/>
      <c r="B96" s="7"/>
      <c r="C96" s="15"/>
      <c r="D96" s="8"/>
      <c r="E96" s="7"/>
      <c r="F96" s="7"/>
      <c r="G96" s="8"/>
    </row>
    <row r="97" ht="22.5" customHeight="1">
      <c r="A97" s="52"/>
      <c r="B97" s="7"/>
      <c r="C97" s="15"/>
      <c r="D97" s="8"/>
      <c r="E97" s="7"/>
      <c r="F97" s="7"/>
      <c r="G97" s="8"/>
    </row>
    <row r="98" ht="22.5" customHeight="1">
      <c r="A98" s="52"/>
      <c r="B98" s="7"/>
      <c r="C98" s="15"/>
      <c r="D98" s="8"/>
      <c r="E98" s="7"/>
      <c r="F98" s="7"/>
      <c r="G98" s="8"/>
    </row>
    <row r="99" ht="22.5" customHeight="1">
      <c r="A99" s="52"/>
      <c r="B99" s="7"/>
      <c r="C99" s="15"/>
      <c r="D99" s="8"/>
      <c r="E99" s="7"/>
      <c r="F99" s="7"/>
      <c r="G99" s="8"/>
    </row>
    <row r="100" ht="22.5" customHeight="1">
      <c r="A100" s="52"/>
      <c r="B100" s="7"/>
      <c r="C100" s="15"/>
      <c r="D100" s="8"/>
      <c r="E100" s="7"/>
      <c r="F100" s="7"/>
      <c r="G100" s="8"/>
    </row>
    <row r="101" ht="22.5" customHeight="1">
      <c r="A101" s="52"/>
      <c r="B101" s="7"/>
      <c r="C101" s="15"/>
      <c r="D101" s="8"/>
      <c r="E101" s="7"/>
      <c r="F101" s="7"/>
      <c r="G101" s="8"/>
    </row>
    <row r="102" ht="22.5" customHeight="1">
      <c r="A102" s="52"/>
      <c r="B102" s="7"/>
      <c r="C102" s="15"/>
      <c r="D102" s="8"/>
      <c r="E102" s="7"/>
      <c r="F102" s="7"/>
      <c r="G102" s="8"/>
    </row>
    <row r="103" ht="22.5" customHeight="1">
      <c r="A103" s="52"/>
      <c r="B103" s="7"/>
      <c r="C103" s="15"/>
      <c r="D103" s="8"/>
      <c r="E103" s="7"/>
      <c r="F103" s="7"/>
      <c r="G103" s="8"/>
    </row>
    <row r="104" ht="22.5" customHeight="1">
      <c r="A104" s="52"/>
      <c r="B104" s="7"/>
      <c r="C104" s="15"/>
      <c r="D104" s="8"/>
      <c r="E104" s="7"/>
      <c r="F104" s="7"/>
      <c r="G104" s="8"/>
    </row>
    <row r="105" ht="22.5" customHeight="1">
      <c r="A105" s="52"/>
      <c r="B105" s="7"/>
      <c r="C105" s="15"/>
      <c r="D105" s="8"/>
      <c r="E105" s="7"/>
      <c r="F105" s="7"/>
      <c r="G105" s="8"/>
    </row>
    <row r="106" ht="22.5" customHeight="1">
      <c r="A106" s="52"/>
      <c r="B106" s="7"/>
      <c r="C106" s="15"/>
      <c r="D106" s="8"/>
      <c r="E106" s="7"/>
      <c r="F106" s="7"/>
      <c r="G106" s="8"/>
    </row>
    <row r="107" ht="22.5" customHeight="1">
      <c r="A107" s="52"/>
      <c r="B107" s="7"/>
      <c r="C107" s="15"/>
      <c r="D107" s="8"/>
      <c r="E107" s="7"/>
      <c r="F107" s="7"/>
      <c r="G107" s="8"/>
    </row>
    <row r="108" ht="22.5" customHeight="1">
      <c r="A108" s="52"/>
      <c r="B108" s="7"/>
      <c r="C108" s="15"/>
      <c r="D108" s="8"/>
      <c r="E108" s="7"/>
      <c r="F108" s="7"/>
      <c r="G108" s="8"/>
    </row>
    <row r="109" ht="22.5" customHeight="1">
      <c r="A109" s="52"/>
      <c r="B109" s="7"/>
      <c r="C109" s="15"/>
      <c r="D109" s="8"/>
      <c r="E109" s="7"/>
      <c r="F109" s="7"/>
      <c r="G109" s="8"/>
    </row>
    <row r="110" ht="22.5" customHeight="1">
      <c r="A110" s="52"/>
      <c r="B110" s="7"/>
      <c r="C110" s="15"/>
      <c r="D110" s="8"/>
      <c r="E110" s="7"/>
      <c r="F110" s="7"/>
      <c r="G110" s="8"/>
    </row>
    <row r="111" ht="22.5" customHeight="1">
      <c r="A111" s="52"/>
      <c r="B111" s="7"/>
      <c r="C111" s="15"/>
      <c r="D111" s="8"/>
      <c r="E111" s="7"/>
      <c r="F111" s="7"/>
      <c r="G111" s="8"/>
    </row>
    <row r="112" ht="22.5" customHeight="1">
      <c r="A112" s="52"/>
      <c r="B112" s="7"/>
      <c r="C112" s="15"/>
      <c r="D112" s="8"/>
      <c r="E112" s="7"/>
      <c r="F112" s="7"/>
      <c r="G112" s="8"/>
    </row>
  </sheetData>
  <dataValidations>
    <dataValidation allowBlank="1" showDropDown="1" sqref="C2:C112"/>
    <dataValidation type="list" allowBlank="1" sqref="G2:G112">
      <formula1>#REF!</formula1>
    </dataValidation>
    <dataValidation type="list" allowBlank="1" sqref="D2:D112">
      <formula1>"Paid,Unpaid"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517</v>
      </c>
    </row>
    <row r="2" ht="22.5" customHeight="1">
      <c r="A2" s="6" t="str">
        <f>IFERROR(__xludf.DUMMYFUNCTION("QUERY(Students!A2:A46, ""SELECT A WHERE A IS NOT NULL"")"),"STU-F-001")</f>
        <v>STU-F-001</v>
      </c>
      <c r="B2" s="11">
        <v>2.8102E7</v>
      </c>
    </row>
    <row r="3" ht="22.5" customHeight="1">
      <c r="A3" s="7" t="str">
        <f>IFERROR(__xludf.DUMMYFUNCTION("""COMPUTED_VALUE"""),"STU-M-002")</f>
        <v>STU-M-002</v>
      </c>
      <c r="B3" s="11">
        <v>1.2345678E7</v>
      </c>
    </row>
    <row r="4" ht="22.5" customHeight="1">
      <c r="A4" s="7" t="str">
        <f>IFERROR(__xludf.DUMMYFUNCTION("""COMPUTED_VALUE"""),"STU-F-003")</f>
        <v>STU-F-003</v>
      </c>
      <c r="B4" s="11">
        <v>1.2345678E7</v>
      </c>
    </row>
    <row r="5" ht="22.5" customHeight="1">
      <c r="A5" s="7" t="str">
        <f>IFERROR(__xludf.DUMMYFUNCTION("""COMPUTED_VALUE"""),"STU-F-004")</f>
        <v>STU-F-004</v>
      </c>
      <c r="B5" s="11">
        <v>1.2345678E7</v>
      </c>
    </row>
    <row r="6" ht="22.5" customHeight="1">
      <c r="A6" s="7" t="str">
        <f>IFERROR(__xludf.DUMMYFUNCTION("""COMPUTED_VALUE"""),"STU-F-005")</f>
        <v>STU-F-005</v>
      </c>
      <c r="B6" s="11">
        <v>1.2345678E7</v>
      </c>
    </row>
    <row r="7" ht="22.5" customHeight="1">
      <c r="A7" s="7" t="str">
        <f>IFERROR(__xludf.DUMMYFUNCTION("""COMPUTED_VALUE"""),"STU-F-006")</f>
        <v>STU-F-006</v>
      </c>
      <c r="B7" s="11">
        <v>1.2345678E7</v>
      </c>
    </row>
    <row r="8" ht="22.5" customHeight="1">
      <c r="A8" s="7" t="str">
        <f>IFERROR(__xludf.DUMMYFUNCTION("""COMPUTED_VALUE"""),"STU-F-007")</f>
        <v>STU-F-007</v>
      </c>
      <c r="B8" s="11">
        <v>1.2345678E7</v>
      </c>
    </row>
    <row r="9" ht="22.5" customHeight="1">
      <c r="A9" s="7" t="str">
        <f>IFERROR(__xludf.DUMMYFUNCTION("""COMPUTED_VALUE"""),"STU-F-008")</f>
        <v>STU-F-008</v>
      </c>
      <c r="B9" s="11">
        <v>1.2345678E7</v>
      </c>
    </row>
    <row r="10" ht="22.5" customHeight="1">
      <c r="A10" s="7" t="str">
        <f>IFERROR(__xludf.DUMMYFUNCTION("""COMPUTED_VALUE"""),"STU-M-009")</f>
        <v>STU-M-009</v>
      </c>
      <c r="B10" s="11">
        <v>1.2345678E7</v>
      </c>
    </row>
    <row r="11" ht="22.5" customHeight="1">
      <c r="A11" s="7" t="str">
        <f>IFERROR(__xludf.DUMMYFUNCTION("""COMPUTED_VALUE"""),"STU-M-010")</f>
        <v>STU-M-010</v>
      </c>
      <c r="B11" s="11">
        <v>1.2345678E7</v>
      </c>
    </row>
    <row r="12" ht="22.5" customHeight="1">
      <c r="A12" s="7" t="str">
        <f>IFERROR(__xludf.DUMMYFUNCTION("""COMPUTED_VALUE"""),"STU-F-011")</f>
        <v>STU-F-011</v>
      </c>
      <c r="B12" s="11">
        <v>1.2345678E7</v>
      </c>
    </row>
    <row r="13" ht="22.5" customHeight="1">
      <c r="A13" s="7" t="str">
        <f>IFERROR(__xludf.DUMMYFUNCTION("""COMPUTED_VALUE"""),"STU-F-012")</f>
        <v>STU-F-012</v>
      </c>
      <c r="B13" s="11">
        <v>1.2345678E7</v>
      </c>
    </row>
    <row r="14" ht="22.5" customHeight="1">
      <c r="A14" s="7" t="str">
        <f>IFERROR(__xludf.DUMMYFUNCTION("""COMPUTED_VALUE"""),"STU-F-013")</f>
        <v>STU-F-013</v>
      </c>
      <c r="B14" s="11">
        <v>1.2345678E7</v>
      </c>
    </row>
    <row r="15" ht="22.5" customHeight="1">
      <c r="A15" s="7" t="str">
        <f>IFERROR(__xludf.DUMMYFUNCTION("""COMPUTED_VALUE"""),"STU-F-014")</f>
        <v>STU-F-014</v>
      </c>
      <c r="B15" s="11">
        <v>1.2345678E7</v>
      </c>
    </row>
    <row r="16" ht="22.5" customHeight="1">
      <c r="A16" s="7" t="str">
        <f>IFERROR(__xludf.DUMMYFUNCTION("""COMPUTED_VALUE"""),"STU-F-015")</f>
        <v>STU-F-015</v>
      </c>
      <c r="B16" s="11">
        <v>1.2345678E7</v>
      </c>
    </row>
    <row r="17" ht="22.5" customHeight="1">
      <c r="A17" s="7" t="str">
        <f>IFERROR(__xludf.DUMMYFUNCTION("""COMPUTED_VALUE"""),"STU-F-016")</f>
        <v>STU-F-016</v>
      </c>
      <c r="B17" s="11">
        <v>1.2345678E7</v>
      </c>
    </row>
    <row r="18" ht="22.5" customHeight="1">
      <c r="A18" s="7" t="str">
        <f>IFERROR(__xludf.DUMMYFUNCTION("""COMPUTED_VALUE"""),"STU-F-017")</f>
        <v>STU-F-017</v>
      </c>
      <c r="B18" s="11">
        <v>1.2345678E7</v>
      </c>
    </row>
    <row r="19" ht="22.5" customHeight="1">
      <c r="A19" s="7" t="str">
        <f>IFERROR(__xludf.DUMMYFUNCTION("""COMPUTED_VALUE"""),"STU-F-018")</f>
        <v>STU-F-018</v>
      </c>
      <c r="B19" s="11">
        <v>1.2345678E7</v>
      </c>
    </row>
    <row r="20" ht="22.5" customHeight="1">
      <c r="A20" s="7" t="str">
        <f>IFERROR(__xludf.DUMMYFUNCTION("""COMPUTED_VALUE"""),"STU-F-019")</f>
        <v>STU-F-019</v>
      </c>
      <c r="B20" s="11">
        <v>1.2345678E7</v>
      </c>
    </row>
    <row r="21" ht="22.5" customHeight="1">
      <c r="A21" s="7" t="str">
        <f>IFERROR(__xludf.DUMMYFUNCTION("""COMPUTED_VALUE"""),"STU-M-020")</f>
        <v>STU-M-020</v>
      </c>
      <c r="B21" s="11">
        <v>1.2345678E7</v>
      </c>
    </row>
    <row r="22" ht="22.5" customHeight="1">
      <c r="A22" s="7" t="str">
        <f>IFERROR(__xludf.DUMMYFUNCTION("""COMPUTED_VALUE"""),"STU-M-021")</f>
        <v>STU-M-021</v>
      </c>
      <c r="B22" s="11">
        <v>1.2345678E7</v>
      </c>
    </row>
    <row r="23" ht="22.5" customHeight="1">
      <c r="A23" s="7" t="str">
        <f>IFERROR(__xludf.DUMMYFUNCTION("""COMPUTED_VALUE"""),"STU-M-022")</f>
        <v>STU-M-022</v>
      </c>
      <c r="B23" s="11">
        <v>1.2345678E7</v>
      </c>
    </row>
    <row r="24" ht="22.5" customHeight="1">
      <c r="A24" s="7" t="str">
        <f>IFERROR(__xludf.DUMMYFUNCTION("""COMPUTED_VALUE"""),"STU-F-023")</f>
        <v>STU-F-023</v>
      </c>
      <c r="B24" s="11">
        <v>1.2345678E7</v>
      </c>
    </row>
    <row r="25" ht="22.5" customHeight="1">
      <c r="A25" s="7" t="str">
        <f>IFERROR(__xludf.DUMMYFUNCTION("""COMPUTED_VALUE"""),"STU-F-024")</f>
        <v>STU-F-024</v>
      </c>
      <c r="B25" s="11">
        <v>1.2345678E7</v>
      </c>
    </row>
    <row r="26" ht="22.5" customHeight="1">
      <c r="A26" s="7" t="str">
        <f>IFERROR(__xludf.DUMMYFUNCTION("""COMPUTED_VALUE"""),"STU-F-025")</f>
        <v>STU-F-025</v>
      </c>
      <c r="B26" s="11">
        <v>1.2345678E7</v>
      </c>
    </row>
    <row r="27" ht="22.5" customHeight="1">
      <c r="A27" s="7" t="str">
        <f>IFERROR(__xludf.DUMMYFUNCTION("""COMPUTED_VALUE"""),"STU-M-026")</f>
        <v>STU-M-026</v>
      </c>
      <c r="B27" s="11">
        <v>1.2345678E7</v>
      </c>
    </row>
    <row r="28" ht="22.5" customHeight="1">
      <c r="A28" s="7" t="str">
        <f>IFERROR(__xludf.DUMMYFUNCTION("""COMPUTED_VALUE"""),"STU-M-027")</f>
        <v>STU-M-027</v>
      </c>
      <c r="B28" s="11">
        <v>1.2345678E7</v>
      </c>
    </row>
    <row r="29" ht="22.5" customHeight="1">
      <c r="A29" s="7" t="str">
        <f>IFERROR(__xludf.DUMMYFUNCTION("""COMPUTED_VALUE"""),"STU-F-028")</f>
        <v>STU-F-028</v>
      </c>
      <c r="B29" s="11">
        <v>1.2345678E7</v>
      </c>
    </row>
    <row r="30" ht="22.5" customHeight="1">
      <c r="A30" s="7" t="str">
        <f>IFERROR(__xludf.DUMMYFUNCTION("""COMPUTED_VALUE"""),"STU-F-029")</f>
        <v>STU-F-029</v>
      </c>
      <c r="B30" s="11">
        <v>1.2345678E7</v>
      </c>
    </row>
    <row r="31" ht="22.5" customHeight="1">
      <c r="A31" s="7" t="str">
        <f>IFERROR(__xludf.DUMMYFUNCTION("""COMPUTED_VALUE"""),"STU-F-030")</f>
        <v>STU-F-030</v>
      </c>
      <c r="B31" s="11">
        <v>1.2345678E7</v>
      </c>
    </row>
    <row r="32" ht="22.5" customHeight="1">
      <c r="A32" s="7" t="str">
        <f>IFERROR(__xludf.DUMMYFUNCTION("""COMPUTED_VALUE"""),"STU-M-031")</f>
        <v>STU-M-031</v>
      </c>
      <c r="B32" s="11">
        <v>1.2345678E7</v>
      </c>
    </row>
    <row r="33" ht="22.5" customHeight="1">
      <c r="A33" s="7" t="str">
        <f>IFERROR(__xludf.DUMMYFUNCTION("""COMPUTED_VALUE"""),"STU-M-032")</f>
        <v>STU-M-032</v>
      </c>
      <c r="B33" s="11">
        <v>1.2345678E7</v>
      </c>
    </row>
    <row r="34" ht="22.5" customHeight="1">
      <c r="A34" s="7" t="str">
        <f>IFERROR(__xludf.DUMMYFUNCTION("""COMPUTED_VALUE"""),"STU-F-033")</f>
        <v>STU-F-033</v>
      </c>
      <c r="B34" s="11">
        <v>1.2345678E7</v>
      </c>
    </row>
    <row r="35" ht="22.5" customHeight="1">
      <c r="A35" s="7" t="str">
        <f>IFERROR(__xludf.DUMMYFUNCTION("""COMPUTED_VALUE"""),"STU-F-034")</f>
        <v>STU-F-034</v>
      </c>
      <c r="B35" s="11">
        <v>1.2345678E7</v>
      </c>
    </row>
    <row r="36" ht="22.5" customHeight="1">
      <c r="A36" s="7" t="str">
        <f>IFERROR(__xludf.DUMMYFUNCTION("""COMPUTED_VALUE"""),"STU-M-035")</f>
        <v>STU-M-035</v>
      </c>
      <c r="B36" s="11">
        <v>1.2345678E7</v>
      </c>
    </row>
    <row r="37" ht="22.5" customHeight="1">
      <c r="A37" s="7" t="str">
        <f>IFERROR(__xludf.DUMMYFUNCTION("""COMPUTED_VALUE"""),"STU-M-036")</f>
        <v>STU-M-036</v>
      </c>
      <c r="B37" s="11">
        <v>1.2345678E7</v>
      </c>
    </row>
    <row r="38" ht="22.5" customHeight="1">
      <c r="A38" s="7" t="str">
        <f>IFERROR(__xludf.DUMMYFUNCTION("""COMPUTED_VALUE"""),"STU-F-037")</f>
        <v>STU-F-037</v>
      </c>
      <c r="B38" s="11">
        <v>1.2345678E7</v>
      </c>
    </row>
    <row r="39" ht="22.5" customHeight="1">
      <c r="A39" s="7" t="str">
        <f>IFERROR(__xludf.DUMMYFUNCTION("""COMPUTED_VALUE"""),"STU-F-038")</f>
        <v>STU-F-038</v>
      </c>
      <c r="B39" s="11">
        <v>1.2345678E7</v>
      </c>
    </row>
    <row r="40" ht="22.5" customHeight="1">
      <c r="A40" s="7" t="str">
        <f>IFERROR(__xludf.DUMMYFUNCTION("""COMPUTED_VALUE"""),"STU-M-039")</f>
        <v>STU-M-039</v>
      </c>
      <c r="B40" s="11">
        <v>1.2345678E7</v>
      </c>
    </row>
    <row r="41" ht="22.5" customHeight="1">
      <c r="A41" s="7" t="str">
        <f>IFERROR(__xludf.DUMMYFUNCTION("""COMPUTED_VALUE"""),"STU-M-040")</f>
        <v>STU-M-040</v>
      </c>
      <c r="B41" s="11">
        <v>1.2345678E7</v>
      </c>
    </row>
    <row r="42" ht="22.5" customHeight="1">
      <c r="A42" s="7"/>
      <c r="B42" s="7"/>
    </row>
    <row r="43" ht="22.5" customHeight="1">
      <c r="A43" s="7"/>
      <c r="B43" s="7"/>
    </row>
    <row r="44" ht="22.5" customHeight="1">
      <c r="A44" s="7"/>
      <c r="B44" s="7"/>
    </row>
    <row r="45" ht="22.5" customHeight="1">
      <c r="A45" s="7"/>
      <c r="B45" s="7"/>
    </row>
    <row r="46" ht="22.5" customHeight="1">
      <c r="A46" s="7"/>
      <c r="B46" s="7"/>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15.63"/>
    <col customWidth="1" min="4" max="4" width="22.63"/>
    <col customWidth="1" min="5" max="5" width="12.75"/>
  </cols>
  <sheetData>
    <row r="1" ht="22.5" customHeight="1">
      <c r="A1" s="1" t="s">
        <v>518</v>
      </c>
      <c r="B1" s="1" t="s">
        <v>519</v>
      </c>
      <c r="C1" s="2" t="s">
        <v>520</v>
      </c>
      <c r="D1" s="1" t="s">
        <v>521</v>
      </c>
      <c r="E1" s="2" t="s">
        <v>522</v>
      </c>
    </row>
    <row r="2" ht="22.5" customHeight="1">
      <c r="A2" s="11" t="s">
        <v>523</v>
      </c>
      <c r="B2" s="11">
        <v>2.8102E7</v>
      </c>
      <c r="C2" s="11" t="s">
        <v>524</v>
      </c>
      <c r="D2" s="10" t="s">
        <v>525</v>
      </c>
    </row>
    <row r="3" ht="22.5" customHeight="1">
      <c r="A3" s="11" t="s">
        <v>526</v>
      </c>
      <c r="B3" s="11" t="s">
        <v>527</v>
      </c>
      <c r="C3" s="11" t="s">
        <v>528</v>
      </c>
      <c r="D3" s="10" t="s">
        <v>529</v>
      </c>
    </row>
    <row r="4" ht="22.5" customHeight="1">
      <c r="A4" s="11" t="s">
        <v>530</v>
      </c>
      <c r="B4" s="11" t="s">
        <v>527</v>
      </c>
      <c r="C4" s="11" t="s">
        <v>44</v>
      </c>
      <c r="D4" s="10" t="s">
        <v>525</v>
      </c>
    </row>
    <row r="5" ht="22.5" customHeight="1">
      <c r="A5" s="11" t="s">
        <v>531</v>
      </c>
      <c r="B5" s="11" t="s">
        <v>527</v>
      </c>
      <c r="C5" s="11" t="s">
        <v>89</v>
      </c>
      <c r="D5" s="10" t="s">
        <v>532</v>
      </c>
    </row>
    <row r="6" ht="22.5" customHeight="1">
      <c r="A6" s="7"/>
      <c r="B6" s="7"/>
      <c r="D6" s="8"/>
    </row>
    <row r="7" ht="22.5" customHeight="1">
      <c r="A7" s="7"/>
      <c r="B7" s="7"/>
      <c r="D7" s="8"/>
    </row>
    <row r="8" ht="22.5" customHeight="1">
      <c r="A8" s="7"/>
      <c r="B8" s="7"/>
      <c r="D8" s="8"/>
    </row>
  </sheetData>
  <dataValidations>
    <dataValidation type="list" allowBlank="1" sqref="D2:D8">
      <formula1>"Admin,Coach,Assistant Coach"</formula1>
    </dataValidation>
  </dataValidations>
  <drawing r:id="rId1"/>
  <tableParts count="1">
    <tablePart r:id="rId3"/>
  </tableParts>
</worksheet>
</file>